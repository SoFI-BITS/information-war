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LENOVO\WEBDEV\information-war\docs\phase-1-content\"/>
    </mc:Choice>
  </mc:AlternateContent>
  <xr:revisionPtr revIDLastSave="0" documentId="13_ncr:1_{1BDDCFEB-A610-4279-8C0A-E92BDA05C632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README" sheetId="1" r:id="rId1"/>
    <sheet name="Parameters" sheetId="2" r:id="rId2"/>
    <sheet name="Stocks" sheetId="3" r:id="rId3"/>
    <sheet name="Hidden State" sheetId="4" r:id="rId4"/>
    <sheet name="Public News" sheetId="5" r:id="rId5"/>
    <sheet name="Private Signals" sheetId="6" r:id="rId6"/>
    <sheet name="Allocation" sheetId="7" r:id="rId7"/>
    <sheet name="Balance Check" sheetId="8" r:id="rId8"/>
    <sheet name="Research" sheetId="9" r:id="rId9"/>
    <sheet name="Forecast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8" l="1"/>
  <c r="E7" i="8"/>
  <c r="D7" i="8"/>
  <c r="C7" i="8"/>
  <c r="B7" i="8"/>
  <c r="F6" i="8"/>
  <c r="E6" i="8"/>
  <c r="D6" i="8"/>
  <c r="C6" i="8"/>
  <c r="B6" i="8"/>
  <c r="F5" i="8"/>
  <c r="E5" i="8"/>
  <c r="D5" i="8"/>
  <c r="C5" i="8"/>
  <c r="B5" i="8"/>
  <c r="F4" i="8"/>
  <c r="E4" i="8"/>
  <c r="D4" i="8"/>
  <c r="C4" i="8"/>
  <c r="B4" i="8"/>
  <c r="F3" i="8"/>
  <c r="E3" i="8"/>
  <c r="D3" i="8"/>
  <c r="C3" i="8"/>
  <c r="B3" i="8"/>
  <c r="F2" i="8"/>
  <c r="E2" i="8"/>
  <c r="D2" i="8"/>
  <c r="C2" i="8"/>
  <c r="B2" i="8"/>
  <c r="K31" i="6"/>
  <c r="L31" i="6" s="1"/>
  <c r="K30" i="6"/>
  <c r="L30" i="6" s="1"/>
  <c r="K29" i="6"/>
  <c r="L29" i="6" s="1"/>
  <c r="K28" i="6"/>
  <c r="L28" i="6" s="1"/>
  <c r="K27" i="6"/>
  <c r="L27" i="6" s="1"/>
  <c r="K26" i="6"/>
  <c r="L26" i="6" s="1"/>
  <c r="K25" i="6"/>
  <c r="L25" i="6" s="1"/>
  <c r="K24" i="6"/>
  <c r="L24" i="6" s="1"/>
  <c r="K23" i="6"/>
  <c r="L23" i="6" s="1"/>
  <c r="K22" i="6"/>
  <c r="L22" i="6" s="1"/>
  <c r="K21" i="6"/>
  <c r="L21" i="6" s="1"/>
  <c r="K20" i="6"/>
  <c r="L20" i="6" s="1"/>
  <c r="K19" i="6"/>
  <c r="L19" i="6" s="1"/>
  <c r="K18" i="6"/>
  <c r="L18" i="6" s="1"/>
  <c r="K17" i="6"/>
  <c r="L17" i="6" s="1"/>
  <c r="K16" i="6"/>
  <c r="L16" i="6" s="1"/>
  <c r="K15" i="6"/>
  <c r="L15" i="6" s="1"/>
  <c r="K14" i="6"/>
  <c r="L14" i="6" s="1"/>
  <c r="K13" i="6"/>
  <c r="L13" i="6" s="1"/>
  <c r="K12" i="6"/>
  <c r="L12" i="6" s="1"/>
  <c r="K11" i="6"/>
  <c r="L11" i="6" s="1"/>
  <c r="K10" i="6"/>
  <c r="L10" i="6" s="1"/>
  <c r="K9" i="6"/>
  <c r="L9" i="6" s="1"/>
  <c r="K8" i="6"/>
  <c r="L8" i="6" s="1"/>
  <c r="K7" i="6"/>
  <c r="L7" i="6" s="1"/>
  <c r="K6" i="6"/>
  <c r="L6" i="6" s="1"/>
  <c r="K5" i="6"/>
  <c r="L5" i="6" s="1"/>
  <c r="K4" i="6"/>
  <c r="L4" i="6" s="1"/>
  <c r="K3" i="6"/>
  <c r="L3" i="6" s="1"/>
  <c r="K2" i="6"/>
  <c r="L2" i="6" s="1"/>
  <c r="B11" i="4"/>
  <c r="M11" i="4" s="1"/>
  <c r="N11" i="4" s="1"/>
  <c r="O11" i="4" s="1"/>
  <c r="P11" i="4" s="1"/>
  <c r="Q11" i="4" s="1"/>
  <c r="R11" i="4" s="1"/>
  <c r="S11" i="4" s="1"/>
  <c r="T11" i="4" s="1"/>
  <c r="U11" i="4" s="1"/>
  <c r="V11" i="4" s="1"/>
  <c r="W11" i="4" s="1"/>
  <c r="X11" i="4" s="1"/>
  <c r="B10" i="4"/>
  <c r="M10" i="4" s="1"/>
  <c r="N10" i="4" s="1"/>
  <c r="O10" i="4" s="1"/>
  <c r="P10" i="4" s="1"/>
  <c r="Q10" i="4" s="1"/>
  <c r="R10" i="4" s="1"/>
  <c r="S10" i="4" s="1"/>
  <c r="T10" i="4" s="1"/>
  <c r="U10" i="4" s="1"/>
  <c r="V10" i="4" s="1"/>
  <c r="W10" i="4" s="1"/>
  <c r="X10" i="4" s="1"/>
  <c r="B9" i="4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B8" i="4"/>
  <c r="M8" i="4" s="1"/>
  <c r="N8" i="4" s="1"/>
  <c r="O8" i="4" s="1"/>
  <c r="P8" i="4" s="1"/>
  <c r="Q8" i="4" s="1"/>
  <c r="R8" i="4" s="1"/>
  <c r="S8" i="4" s="1"/>
  <c r="T8" i="4" s="1"/>
  <c r="U8" i="4" s="1"/>
  <c r="V8" i="4" s="1"/>
  <c r="W8" i="4" s="1"/>
  <c r="X8" i="4" s="1"/>
  <c r="B7" i="4"/>
  <c r="M7" i="4" s="1"/>
  <c r="N7" i="4" s="1"/>
  <c r="O7" i="4" s="1"/>
  <c r="P7" i="4" s="1"/>
  <c r="Q7" i="4" s="1"/>
  <c r="R7" i="4" s="1"/>
  <c r="S7" i="4" s="1"/>
  <c r="T7" i="4" s="1"/>
  <c r="U7" i="4" s="1"/>
  <c r="V7" i="4" s="1"/>
  <c r="W7" i="4" s="1"/>
  <c r="X7" i="4" s="1"/>
  <c r="B6" i="4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B5" i="4"/>
  <c r="M5" i="4" s="1"/>
  <c r="N5" i="4" s="1"/>
  <c r="O5" i="4" s="1"/>
  <c r="P5" i="4" s="1"/>
  <c r="Q5" i="4" s="1"/>
  <c r="R5" i="4" s="1"/>
  <c r="S5" i="4" s="1"/>
  <c r="T5" i="4" s="1"/>
  <c r="U5" i="4" s="1"/>
  <c r="V5" i="4" s="1"/>
  <c r="W5" i="4" s="1"/>
  <c r="X5" i="4" s="1"/>
  <c r="B4" i="4"/>
  <c r="M4" i="4" s="1"/>
  <c r="N4" i="4" s="1"/>
  <c r="O4" i="4" s="1"/>
  <c r="P4" i="4" s="1"/>
  <c r="Q4" i="4" s="1"/>
  <c r="R4" i="4" s="1"/>
  <c r="S4" i="4" s="1"/>
  <c r="T4" i="4" s="1"/>
  <c r="U4" i="4" s="1"/>
  <c r="V4" i="4" s="1"/>
  <c r="W4" i="4" s="1"/>
  <c r="X4" i="4" s="1"/>
  <c r="B3" i="4"/>
  <c r="M3" i="4" s="1"/>
  <c r="N3" i="4" s="1"/>
  <c r="O3" i="4" s="1"/>
  <c r="P3" i="4" s="1"/>
  <c r="Q3" i="4" s="1"/>
  <c r="R3" i="4" s="1"/>
  <c r="S3" i="4" s="1"/>
  <c r="T3" i="4" s="1"/>
  <c r="U3" i="4" s="1"/>
  <c r="V3" i="4" s="1"/>
  <c r="W3" i="4" s="1"/>
  <c r="X3" i="4" s="1"/>
  <c r="B2" i="4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I11" i="3"/>
  <c r="H11" i="3"/>
  <c r="J11" i="3" s="1"/>
  <c r="I10" i="3"/>
  <c r="H10" i="3"/>
  <c r="J10" i="3" s="1"/>
  <c r="I9" i="3"/>
  <c r="H9" i="3"/>
  <c r="J9" i="3" s="1"/>
  <c r="I8" i="3"/>
  <c r="H8" i="3"/>
  <c r="J8" i="3" s="1"/>
  <c r="I7" i="3"/>
  <c r="H7" i="3"/>
  <c r="J7" i="3" s="1"/>
  <c r="I6" i="3"/>
  <c r="H6" i="3"/>
  <c r="J6" i="3" s="1"/>
  <c r="I5" i="3"/>
  <c r="H5" i="3"/>
  <c r="J5" i="3" s="1"/>
  <c r="I4" i="3"/>
  <c r="H4" i="3"/>
  <c r="J4" i="3" s="1"/>
  <c r="I3" i="3"/>
  <c r="H3" i="3"/>
  <c r="J3" i="3" s="1"/>
  <c r="I2" i="3"/>
  <c r="H2" i="3"/>
  <c r="J2" i="3" s="1"/>
  <c r="J12" i="3" s="1"/>
  <c r="G4" i="8" l="1"/>
  <c r="G7" i="8"/>
  <c r="G3" i="8"/>
  <c r="G6" i="8"/>
  <c r="G5" i="8"/>
  <c r="G2" i="8"/>
  <c r="J13" i="3"/>
  <c r="J14" i="3"/>
  <c r="G9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Organiser</author>
  </authors>
  <commentList>
    <comment ref="J1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Cash tops the endowment up to exactly the starting capital (≈ starting cash after share rounding).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Organiser</author>
  </authors>
  <commentList>
    <comment ref="C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Hidden fundamental change per round (organiser input). Source: scenario.json.</t>
        </r>
      </text>
    </comment>
  </commentList>
</comments>
</file>

<file path=xl/sharedStrings.xml><?xml version="1.0" encoding="utf-8"?>
<sst xmlns="http://schemas.openxmlformats.org/spreadsheetml/2006/main" count="637" uniqueCount="420">
  <si>
    <t>THE INFORMATION WAR — Phase 1 scenario workbook (ORGANISER ONLY)</t>
  </si>
  <si>
    <t>Generated from app/src/scenario/scenario.json by tools/build_phase1.py. The JSON file is the source the server loads;</t>
  </si>
  <si>
    <t>if you change numbers here, copy them back into scenario.json (or edit the JSON and regenerate).</t>
  </si>
  <si>
    <t>Legend: blue text = input you may edit · black = formula · green = formula pulling from another sheet.</t>
  </si>
  <si>
    <t>Percent inputs are stored as fractions (0.05 = 5%).</t>
  </si>
  <si>
    <t>Sheets: Parameters · Stocks · Hidden State · Public News · Private Signals · Allocation · Balance Check · Research · Forecasts</t>
  </si>
  <si>
    <t>Intel groups: team 1 → A, team 2 → B, … team 7 → A again (round-robin by team number).</t>
  </si>
  <si>
    <t>Parameter</t>
  </si>
  <si>
    <t>Value</t>
  </si>
  <si>
    <t>Notes</t>
  </si>
  <si>
    <t>Starting capital</t>
  </si>
  <si>
    <t>Total value each team starts with (cash + share endowment).</t>
  </si>
  <si>
    <t>Starting cash</t>
  </si>
  <si>
    <t>Nominal cash component. Actual cash = capital − endowment value, so every team starts at exactly the starting capital.</t>
  </si>
  <si>
    <t>Endowment per stock</t>
  </si>
  <si>
    <t>Credits of each stock given at start (shares = value / start price, rounded).</t>
  </si>
  <si>
    <t>Max position value per stock</t>
  </si>
  <si>
    <t>Share cap = INT(this / start price). Fixed for the event.</t>
  </si>
  <si>
    <t>Max order notional</t>
  </si>
  <si>
    <t>Quantity × price per order.</t>
  </si>
  <si>
    <t>Max open orders per team</t>
  </si>
  <si>
    <t>Market order collar</t>
  </si>
  <si>
    <t>Market orders fill only within this % of the best opposite price at submission.</t>
  </si>
  <si>
    <t>Research credits per team</t>
  </si>
  <si>
    <t>For the whole event; separate from cash.</t>
  </si>
  <si>
    <t>Rounds</t>
  </si>
  <si>
    <t>News phase (s)</t>
  </si>
  <si>
    <t>Trading phase (s)</t>
  </si>
  <si>
    <t>Settlement phase (s)</t>
  </si>
  <si>
    <t>RV weight on VWAP gap</t>
  </si>
  <si>
    <t>RV = F + weight × clamp(VWAP − F, ±cap × F).</t>
  </si>
  <si>
    <t>RV cap</t>
  </si>
  <si>
    <t>RV min volume (shares)</t>
  </si>
  <si>
    <t>VWAP ignored below this round volume.</t>
  </si>
  <si>
    <t>RV min trades</t>
  </si>
  <si>
    <t>RV min distinct teams</t>
  </si>
  <si>
    <t>MM half-spread</t>
  </si>
  <si>
    <t>Market-maker best bid/ask distance from its mid.</t>
  </si>
  <si>
    <t>MM level step</t>
  </si>
  <si>
    <t>MM levels per side</t>
  </si>
  <si>
    <t>MM level notional</t>
  </si>
  <si>
    <t>MM skew per 10k net flow</t>
  </si>
  <si>
    <t>Mid shifts this much per 10,000 credits teams net-buy from the MM.</t>
  </si>
  <si>
    <t>MM max skew</t>
  </si>
  <si>
    <t>Ticker</t>
  </si>
  <si>
    <t>Company</t>
  </si>
  <si>
    <t>Sector</t>
  </si>
  <si>
    <t>Description</t>
  </si>
  <si>
    <t>Start price</t>
  </si>
  <si>
    <t>Volatility</t>
  </si>
  <si>
    <t>Known links</t>
  </si>
  <si>
    <t>Starting shares</t>
  </si>
  <si>
    <t>Max shares</t>
  </si>
  <si>
    <t>Start holding value</t>
  </si>
  <si>
    <t>NVTX</t>
  </si>
  <si>
    <t>Novatex Devices</t>
  </si>
  <si>
    <t>Consumer technology</t>
  </si>
  <si>
    <t>Smartphones, wearables and home devices. Relies on imported components; launches a flagship handset this season.</t>
  </si>
  <si>
    <t>Very high</t>
  </si>
  <si>
    <t>Buys components from Forgeline. Sensitive to interest rates (growth stock).</t>
  </si>
  <si>
    <t>HBFG</t>
  </si>
  <si>
    <t>Harbourline Financial Group</t>
  </si>
  <si>
    <t>Banking and financial services</t>
  </si>
  <si>
    <t>Valdoria's third-largest bank: retail deposits, business lending and a trading desk.</t>
  </si>
  <si>
    <t>High</t>
  </si>
  <si>
    <t>Earns more when interest rates rise. Lends to Solaris Ridge and Tidewell.</t>
  </si>
  <si>
    <t>PTRL</t>
  </si>
  <si>
    <t>Petralis Energy</t>
  </si>
  <si>
    <t>Energy</t>
  </si>
  <si>
    <t>Oil and gas producer with offshore fields and a fuel distribution arm.</t>
  </si>
  <si>
    <t>Competes with renewables for energy policy. Exports priced in foreign currency.</t>
  </si>
  <si>
    <t>CLVH</t>
  </si>
  <si>
    <t>Calvera Health</t>
  </si>
  <si>
    <t>Healthcare</t>
  </si>
  <si>
    <t>Pharmaceutical developer. Its lead drug VX-7 (arthritis) is in late-stage trials.</t>
  </si>
  <si>
    <t>Value depends heavily on VX-7 regulatory outcome and competitors.</t>
  </si>
  <si>
    <t>MRLW</t>
  </si>
  <si>
    <t>Marlowe &amp; Kent</t>
  </si>
  <si>
    <t>Retail and consumer goods</t>
  </si>
  <si>
    <t>Department stores and online retail. Holiday season is half of annual profit.</t>
  </si>
  <si>
    <t>Imports most holiday stock through the Port of Ashmouth. Sensitive to consumer spending.</t>
  </si>
  <si>
    <t>FRGE</t>
  </si>
  <si>
    <t>Forgeline Industries</t>
  </si>
  <si>
    <t>Industrial manufacturing</t>
  </si>
  <si>
    <t>Precision components: electronics parts, gearboxes and industrial bearings.</t>
  </si>
  <si>
    <t>Supplies Novatex and the wind-turbine industry. Depends on imported bearings.</t>
  </si>
  <si>
    <t>TDWL</t>
  </si>
  <si>
    <t>Tidewell Logistics</t>
  </si>
  <si>
    <t>Logistics and shipping</t>
  </si>
  <si>
    <t>Container terminals, trucking and Valdoria's only inland rail-freight corridor.</t>
  </si>
  <si>
    <t>Fuel is a major cost. Moves goods for Marlowe &amp; Kent and Greenfield.</t>
  </si>
  <si>
    <t>ARCM</t>
  </si>
  <si>
    <t>Arcwave Communications</t>
  </si>
  <si>
    <t>Telecommunications</t>
  </si>
  <si>
    <t>Mobile and broadband network operator with high debt from its 5G build-out.</t>
  </si>
  <si>
    <t>Debt-heavy, so sensitive to interest rates. Bidding in the 6G spectrum auction.</t>
  </si>
  <si>
    <t>GRNF</t>
  </si>
  <si>
    <t>Greenfield Harvest Foods</t>
  </si>
  <si>
    <t>Agriculture and food</t>
  </si>
  <si>
    <t>Grain, dairy and packaged foods. Exports a large share of its output.</t>
  </si>
  <si>
    <t>Exports via the Port of Ashmouth. Harvest yields drive annual results.</t>
  </si>
  <si>
    <t>SLRD</t>
  </si>
  <si>
    <t>Solaris Ridge Renewables</t>
  </si>
  <si>
    <t>Renewable infrastructure</t>
  </si>
  <si>
    <t>Builds and operates solar and wind farms financed with long-term borrowing.</t>
  </si>
  <si>
    <t>Depends on government subsidy policy and interest rates. Buys gearboxes from Forgeline.</t>
  </si>
  <si>
    <t>Total</t>
  </si>
  <si>
    <t>+ cash</t>
  </si>
  <si>
    <t>Start equity</t>
  </si>
  <si>
    <t>Start</t>
  </si>
  <si>
    <t>R1 %</t>
  </si>
  <si>
    <t>R2 %</t>
  </si>
  <si>
    <t>R3 %</t>
  </si>
  <si>
    <t>R4 %</t>
  </si>
  <si>
    <t>R5 %</t>
  </si>
  <si>
    <t>R6 %</t>
  </si>
  <si>
    <t>R7 %</t>
  </si>
  <si>
    <t>R8 %</t>
  </si>
  <si>
    <t>R9 %</t>
  </si>
  <si>
    <t>R10 %</t>
  </si>
  <si>
    <t>F0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</si>
  <si>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</si>
  <si>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</si>
  <si>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</si>
  <si>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</si>
  <si>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</si>
  <si>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</si>
  <si>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</si>
  <si>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</si>
  <si>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</si>
  <si>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</si>
  <si>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Total return</t>
  </si>
  <si>
    <t>Round</t>
  </si>
  <si>
    <t>Round title</t>
  </si>
  <si>
    <t>Headline</t>
  </si>
  <si>
    <t>Body</t>
  </si>
  <si>
    <t>Purpose</t>
  </si>
  <si>
    <t>Hidden state (organiser only)</t>
  </si>
  <si>
    <t>Initial Positions</t>
  </si>
  <si>
    <t>Valdoria GDP grows 1.8%, in line with forecasts</t>
  </si>
  <si>
    <t>The Statistics Office reports steady third-quarter growth. Consumer confidence is unchanged. Novatex confirms its flagship handset launches next month.</t>
  </si>
  <si>
    <t>Teach the market and establish opening beliefs. Calm round, no shock.</t>
  </si>
  <si>
    <t>Economy steady. Small, mostly positive drifts. Petralis licence decision quietly delayed.</t>
  </si>
  <si>
    <t>Energy ministry to rule on new offshore licences 'in due course'</t>
  </si>
  <si>
    <t>Petralis Energy is among the applicants. No date has been set.</t>
  </si>
  <si>
    <t>Conflicting Signals</t>
  </si>
  <si>
    <t>Novatex: revenue up 14%, gross margin falls from 41% to 36%</t>
  </si>
  <si>
    <t>Management calls the margin decline 'temporary' but gives no timetable.</t>
  </si>
  <si>
    <t>Test trust in private information versus public evidence. Signals about Novatex conflict.</t>
  </si>
  <si>
    <t>Novatex margin compression is structural (component costs), outweighing strong unit sales. Calvera interim data genuinely strong.</t>
  </si>
  <si>
    <t>Calvera publishes interim VX-7 trial data</t>
  </si>
  <si>
    <t>The arthritis drug shows a 'statistically significant' improvement. Full data and a regulatory decision are expected later this season.</t>
  </si>
  <si>
    <t>Crowd Behaviour</t>
  </si>
  <si>
    <t>Parliament opens hearings on the Renewable Infrastructure Subsidy Act</t>
  </si>
  <si>
    <t>A vote is expected later this season. Energy producers warn of higher carbon costs.</t>
  </si>
  <si>
    <t>Make anonymous order flow strategically relevant. Teams decide whether flow is information or noise.</t>
  </si>
  <si>
    <t>Subsidy hearings are genuinely positive for renewables and their suppliers. Spectrum auction will be expensive for Arcwave.</t>
  </si>
  <si>
    <t>Telecom regulator opens consultation on the 6G spectrum auction</t>
  </si>
  <si>
    <t>Reserve prices have not been published.</t>
  </si>
  <si>
    <t>Supply-Chain Discovery</t>
  </si>
  <si>
    <t>Dockworkers' strike shuts the Port of Ashmouth</t>
  </si>
  <si>
    <t>Valdoria's largest container port is expected to remain closed for about ten days. Ships are queuing offshore.</t>
  </si>
  <si>
    <t>Test second-order reasoning. One disruption helps one company and hurts others.</t>
  </si>
  <si>
    <t>Port strike hurts importers and exporters; Tidewell's inland rail corridor earns emergency surcharges and is a net winner.</t>
  </si>
  <si>
    <t>Macroeconomic Shift</t>
  </si>
  <si>
    <t>Central Bank surprises with a 0.75-point rate rise</t>
  </si>
  <si>
    <t>The Bank signals further increases to fight inflation. The Valdorian crown strengthens sharply against major currencies.</t>
  </si>
  <si>
    <t>Introduce cross-stock relationships. A rate shock moves sectors in different directions.</t>
  </si>
  <si>
    <t>Rate hike: banks win; leveraged and growth companies lose; defensives hold up.</t>
  </si>
  <si>
    <t>Rumour and Verification</t>
  </si>
  <si>
    <t>Reports: Calvera's VX-7 approval 'imminent'</t>
  </si>
  <si>
    <t>Unconfirmed reports say the regulator will approve the arthritis drug this week.</t>
  </si>
  <si>
    <t>Make research credits valuable. Two rumours: one partly true, one false.</t>
  </si>
  <si>
    <t>VX-7 approval comes with a restricted label (smaller market than hoped). Arcwave takeover is false. Port strike settles.</t>
  </si>
  <si>
    <t>Blog claims Arcwave is a takeover target</t>
  </si>
  <si>
    <t>A financial blog says a foreign operator is preparing a bid. Arcwave declined to comment.</t>
  </si>
  <si>
    <t>Liquidity Shock</t>
  </si>
  <si>
    <t>Hedge fund Corvane Capital collapses</t>
  </si>
  <si>
    <t>Harbourline Financial confirms 'manageable' exposure. Several lenders are reviewing positions.</t>
  </si>
  <si>
    <t>Test execution and risk management. Market-maker capacity drops, spreads widen (pre-announced in the rulebook).</t>
  </si>
  <si>
    <t>Harbourline's hedge-fund exposure is larger than admitted. Broad risk-off move.</t>
  </si>
  <si>
    <t>Exchange notice: reduced liquidity this round</t>
  </si>
  <si>
    <t>As set out in the rulebook, market-maker spreads are wider and depth is thinner in all stocks for Round 7.</t>
  </si>
  <si>
    <t>The Narrative Breaks</t>
  </si>
  <si>
    <t>Budget crisis: government withdraws the Renewable Subsidy Act</t>
  </si>
  <si>
    <t>The Treasury announces a full review of energy policy.</t>
  </si>
  <si>
    <t>Challenge previously successful assumptions. The renewables and Calvera stories reverse.</t>
  </si>
  <si>
    <t>Subsidy act withdrawn for good; energy policy swings back to fossil fuels. A rival drug beats VX-7. Novatex launch succeeds.</t>
  </si>
  <si>
    <t>Ostrava Pharma launches rival arthritis drug</t>
  </si>
  <si>
    <t>Its trial results beat VX-7 and it will be sold at a lower price.</t>
  </si>
  <si>
    <t>Final Intelligence</t>
  </si>
  <si>
    <t>Inflation falls faster than expected</t>
  </si>
  <si>
    <t>Economists now expect the Central Bank to pause rate rises.</t>
  </si>
  <si>
    <t>Weigh new evidence against existing positions. Balanced final clues; one points to next round.</t>
  </si>
  <si>
    <t>Inflation cooling: rate-sensitive stocks rebound, banks give back gains. Arcwave deal is genuinely valuable.</t>
  </si>
  <si>
    <t>Arcwave signs network-sharing deal with a regional operator</t>
  </si>
  <si>
    <t>Financial terms were not disclosed.</t>
  </si>
  <si>
    <t>The Endgame</t>
  </si>
  <si>
    <t>Results day: all ten companies report full-year numbers</t>
  </si>
  <si>
    <t>Headline: Valdoria avoids recession as consumer spending recovers. This is the final trading round.</t>
  </si>
  <si>
    <t>Close cleanly. Same rules and limits; no special final mechanic.</t>
  </si>
  <si>
    <t>Full-year results: consumer recovery, record harvest, Harbourline suspends dividend, freight normalises.</t>
  </si>
  <si>
    <t>Signal</t>
  </si>
  <si>
    <t>Groups</t>
  </si>
  <si>
    <t>Source (shown)</t>
  </si>
  <si>
    <t>Stated reliability</t>
  </si>
  <si>
    <t>Text shown to teams</t>
  </si>
  <si>
    <t>Implied dir (+1/-1)</t>
  </si>
  <si>
    <t>Target round</t>
  </si>
  <si>
    <t>True class</t>
  </si>
  <si>
    <t>Actual move</t>
  </si>
  <si>
    <t>Edge (pts)</t>
  </si>
  <si>
    <t>Truth (debrief)</t>
  </si>
  <si>
    <t>S1-1</t>
  </si>
  <si>
    <t>A, D</t>
  </si>
  <si>
    <t>Industry contact</t>
  </si>
  <si>
    <t>Medium</t>
  </si>
  <si>
    <t>Novatex handset pre-orders are tracking ahead of last year's launch.</t>
  </si>
  <si>
    <t>ACCURATE</t>
  </si>
  <si>
    <t>True. Small positive effect this round.</t>
  </si>
  <si>
    <t>S1-2</t>
  </si>
  <si>
    <t>B, E</t>
  </si>
  <si>
    <t>Market chatter</t>
  </si>
  <si>
    <t>Low</t>
  </si>
  <si>
    <t>Petralis is about to be awarded a large new offshore licence.</t>
  </si>
  <si>
    <t>MISLEADING</t>
  </si>
  <si>
    <t>False. The decision was delayed indefinitely.</t>
  </si>
  <si>
    <t>S1-3</t>
  </si>
  <si>
    <t>C, F</t>
  </si>
  <si>
    <t>Analyst research</t>
  </si>
  <si>
    <t>Medium-high</t>
  </si>
  <si>
    <t>Solaris Ridge's quarterly installations came in slightly above plan.</t>
  </si>
  <si>
    <t>True. Small positive effect.</t>
  </si>
  <si>
    <t>S2-1</t>
  </si>
  <si>
    <t>D, F</t>
  </si>
  <si>
    <t>Retail channel checks: stores are reordering Novatex devices; demand is strong.</t>
  </si>
  <si>
    <t>INCOMPLETE</t>
  </si>
  <si>
    <t>Demand really is strong, but margins matter more to value. Stock fell.</t>
  </si>
  <si>
    <t>S2-2</t>
  </si>
  <si>
    <t>B, C</t>
  </si>
  <si>
    <t>Detailed VX-7 tables show the effect size is larger than the headline suggests.</t>
  </si>
  <si>
    <t>True.</t>
  </si>
  <si>
    <t>S2-3</t>
  </si>
  <si>
    <t>A, E</t>
  </si>
  <si>
    <t>Novatex's margin decline will continue into next year as component contracts reprice.</t>
  </si>
  <si>
    <t>True. The margin issue is structural.</t>
  </si>
  <si>
    <t>S3-1</t>
  </si>
  <si>
    <t>D, E</t>
  </si>
  <si>
    <t>A large institutional fund is quietly accumulating renewable-infrastructure stocks.</t>
  </si>
  <si>
    <t>True, and the fundamentals supported it.</t>
  </si>
  <si>
    <t>S3-2</t>
  </si>
  <si>
    <t>A, C</t>
  </si>
  <si>
    <t>Arcwave expects to win 6G spectrum cheaply because few rivals will bid.</t>
  </si>
  <si>
    <t>False. Reserve prices will be high.</t>
  </si>
  <si>
    <t>S3-3</t>
  </si>
  <si>
    <t>B, F</t>
  </si>
  <si>
    <t>Forgeline has quietly signed a supply deal for wind-turbine gearboxes.</t>
  </si>
  <si>
    <t>True. Second-order beneficiary of the subsidy story.</t>
  </si>
  <si>
    <t>S4-1</t>
  </si>
  <si>
    <t>A, F</t>
  </si>
  <si>
    <t>Tidewell's rail-freight corridor is fully booked at emergency rates for the next month.</t>
  </si>
  <si>
    <t>True. Tidewell is a net winner from the strike.</t>
  </si>
  <si>
    <t>S4-2</t>
  </si>
  <si>
    <t>B, D</t>
  </si>
  <si>
    <t>Marlowe &amp; Kent brought its holiday stock in early this year, before the strike.</t>
  </si>
  <si>
    <t>False. Most holiday stock is stuck on ships at Ashmouth.</t>
  </si>
  <si>
    <t>S4-3</t>
  </si>
  <si>
    <t>C, E</t>
  </si>
  <si>
    <t>Forgeline's critical imported bearings are sitting in containers at Ashmouth.</t>
  </si>
  <si>
    <t>True. Production delays.</t>
  </si>
  <si>
    <t>S5-1</t>
  </si>
  <si>
    <t>Harbourline's treasury desk expects its lending margin to widen sharply after the hike.</t>
  </si>
  <si>
    <t>S5-2</t>
  </si>
  <si>
    <t>Arcwave refinanced all of its debt at fixed rates, so rate rises won't hurt it.</t>
  </si>
  <si>
    <t>OUTDATED</t>
  </si>
  <si>
    <t>Outdated. Only half was refinanced; the rest floats.</t>
  </si>
  <si>
    <t>S5-3</t>
  </si>
  <si>
    <t>Solaris Ridge is about to announce a state-guaranteed loan that shields it from rate rises.</t>
  </si>
  <si>
    <t>False. Talks collapsed.</t>
  </si>
  <si>
    <t>S6-1</t>
  </si>
  <si>
    <t>C, D</t>
  </si>
  <si>
    <t>A regulator staffer says VX-7 approval is 'a formality'.</t>
  </si>
  <si>
    <t>Approval is real, but the label is restricted to severe cases. Gain smaller than the hype.</t>
  </si>
  <si>
    <t>S6-2</t>
  </si>
  <si>
    <t>E, F</t>
  </si>
  <si>
    <t>Arcwave's board has hired investment bankers.</t>
  </si>
  <si>
    <t>True fact, wrong meaning: the bankers are arranging a bond issue, not a sale.</t>
  </si>
  <si>
    <t>S6-3</t>
  </si>
  <si>
    <t>A, B</t>
  </si>
  <si>
    <t>The Ashmouth strike was settled overnight; the port reopens tomorrow.</t>
  </si>
  <si>
    <t>True. Tidewell's surcharges end; importers and exporters recover.</t>
  </si>
  <si>
    <t>S7-1</t>
  </si>
  <si>
    <t>Harbourline's Corvane exposure is about three times the amount it has disclosed.</t>
  </si>
  <si>
    <t>S7-2</t>
  </si>
  <si>
    <t>Bargain hunters are lining up for Harbourline; the sell-off is overdone.</t>
  </si>
  <si>
    <t>False. Losses were larger than disclosed.</t>
  </si>
  <si>
    <t>S7-3</t>
  </si>
  <si>
    <t>Petralis has hedged most of next year's output at today's high prices.</t>
  </si>
  <si>
    <t>True. Small positive effect; defensive in a risk-off market.</t>
  </si>
  <si>
    <t>S8-1</t>
  </si>
  <si>
    <t>Ministry insiders say the subsidy withdrawal is temporary; the act returns within weeks.</t>
  </si>
  <si>
    <t>False. No reintroduction before the next election.</t>
  </si>
  <si>
    <t>S8-2</t>
  </si>
  <si>
    <t>Novatex's new handset sold out in its first weekend.</t>
  </si>
  <si>
    <t>S8-3</t>
  </si>
  <si>
    <t>Ostrava's drug faces manufacturing problems that will limit supply for a year.</t>
  </si>
  <si>
    <t>Outdated. The problems were fixed last month.</t>
  </si>
  <si>
    <t>S9-1</t>
  </si>
  <si>
    <t>Arcwave's network-sharing deal cuts its capital spending by about a quarter.</t>
  </si>
  <si>
    <t>S9-2</t>
  </si>
  <si>
    <t>Greenfield's harvest yields hit a record; it reports full-year results next round.</t>
  </si>
  <si>
    <t>True. The payoff arrives in Round 10, not Round 9.</t>
  </si>
  <si>
    <t>S9-3</t>
  </si>
  <si>
    <t>Harbourline will announce a large special dividend at year-end.</t>
  </si>
  <si>
    <t>False. The dividend is suspended in Round 10.</t>
  </si>
  <si>
    <t>S10-1</t>
  </si>
  <si>
    <t>Marlowe &amp; Kent's holiday sales are running 9% above last year.</t>
  </si>
  <si>
    <t>S10-2</t>
  </si>
  <si>
    <t>Tidewell will announce a large share buyback with its results.</t>
  </si>
  <si>
    <t>False. Freight volumes normalise and no buyback is announced.</t>
  </si>
  <si>
    <t>S10-3</t>
  </si>
  <si>
    <t>Calvera's full-year results include a one-off licensing gain.</t>
  </si>
  <si>
    <t>True. Modest positive effect.</t>
  </si>
  <si>
    <t>A</t>
  </si>
  <si>
    <t>B</t>
  </si>
  <si>
    <t>C</t>
  </si>
  <si>
    <t>D</t>
  </si>
  <si>
    <t>E</t>
  </si>
  <si>
    <t>F</t>
  </si>
  <si>
    <t>S1-1 · ACC</t>
  </si>
  <si>
    <t>S1-2 · MIS</t>
  </si>
  <si>
    <t>S1-3 · ACC</t>
  </si>
  <si>
    <t>S2-3 · ACC</t>
  </si>
  <si>
    <t>S2-2 · ACC</t>
  </si>
  <si>
    <t>S2-1 · INC</t>
  </si>
  <si>
    <t>S3-2 · MIS</t>
  </si>
  <si>
    <t>S3-3 · ACC</t>
  </si>
  <si>
    <t>S3-1 · ACC</t>
  </si>
  <si>
    <t>S4-1 · ACC</t>
  </si>
  <si>
    <t>S4-2 · MIS</t>
  </si>
  <si>
    <t>S4-3 · ACC</t>
  </si>
  <si>
    <t>S5-3 · MIS</t>
  </si>
  <si>
    <t>S5-1 · ACC</t>
  </si>
  <si>
    <t>S5-2 · OUT</t>
  </si>
  <si>
    <t>S6-3 · ACC</t>
  </si>
  <si>
    <t>S6-1 · INC</t>
  </si>
  <si>
    <t>S6-2 · MIS</t>
  </si>
  <si>
    <t>S7-3 · ACC</t>
  </si>
  <si>
    <t>S7-2 · MIS</t>
  </si>
  <si>
    <t>S7-1 · ACC</t>
  </si>
  <si>
    <t>S8-3 · OUT</t>
  </si>
  <si>
    <t>S8-1 · MIS</t>
  </si>
  <si>
    <t>S8-2 · ACC</t>
  </si>
  <si>
    <t>S9-2 · ACC</t>
  </si>
  <si>
    <t>S9-1 · ACC</t>
  </si>
  <si>
    <t>S9-3 · MIS</t>
  </si>
  <si>
    <t>S10-2 · MIS</t>
  </si>
  <si>
    <t>S10-1 · ACC</t>
  </si>
  <si>
    <t>S10-3 · ACC</t>
  </si>
  <si>
    <t>Team → group: team number n goes to group index ((n − 1) mod 6). E.g. teams 1, 7, 13, 19, 25 → A.</t>
  </si>
  <si>
    <t>Group</t>
  </si>
  <si>
    <t>Signals</t>
  </si>
  <si>
    <t>Accurate</t>
  </si>
  <si>
    <t>Incomplete</t>
  </si>
  <si>
    <t>Outdated</t>
  </si>
  <si>
    <t>Misleading</t>
  </si>
  <si>
    <t>Total edge (pts)</t>
  </si>
  <si>
    <t>Edge spread (max − min)</t>
  </si>
  <si>
    <t>Target: spread ≤ 6 pts and accurate counts within 1 of each other.</t>
  </si>
  <si>
    <t>Research ID</t>
  </si>
  <si>
    <t>Title</t>
  </si>
  <si>
    <t>Cost (credits)</t>
  </si>
  <si>
    <t>Result revealed</t>
  </si>
  <si>
    <t>R1-1</t>
  </si>
  <si>
    <t>Petralis licence: second source</t>
  </si>
  <si>
    <t>A ministry official says no licence decisions will be made this quarter.</t>
  </si>
  <si>
    <t>R2-1</t>
  </si>
  <si>
    <t>Novatex margin breakdown</t>
  </si>
  <si>
    <t>Component costs rose 9% and are locked in by annual contracts. No margin recovery is guided for next quarter.</t>
  </si>
  <si>
    <t>R3-1</t>
  </si>
  <si>
    <t>6G auction reserve prices</t>
  </si>
  <si>
    <t>Draft documents suggest reserve prices roughly double the last auction.</t>
  </si>
  <si>
    <t>R4-1</t>
  </si>
  <si>
    <t>Who depends on Ashmouth?</t>
  </si>
  <si>
    <t>Marlowe &amp; Kent: ~70% of holiday imports. Greenfield: ~40% of exports. Forgeline: key bearings. Tidewell runs the only inland rail alternative.</t>
  </si>
  <si>
    <t>R5-1</t>
  </si>
  <si>
    <t>Debt and rate-sensitivity table</t>
  </si>
  <si>
    <t>Floating-rate debt as share of total: Solaris Ridge 65%, Arcwave 50%, Tidewell 30%, Novatex 10%. Harbourline earns more on floating-rate loans.</t>
  </si>
  <si>
    <t>R6-1</t>
  </si>
  <si>
    <t>Verify the VX-7 approval rumour</t>
  </si>
  <si>
    <t>Second source: approval is expected, but the label will likely be restricted to severe cases (about a third of the target market).</t>
  </si>
  <si>
    <t>R6-2</t>
  </si>
  <si>
    <t>Verify the Arcwave takeover rumour</t>
  </si>
  <si>
    <t>Second source: the banker mandate is for a bond refinancing. No bidder has been identified.</t>
  </si>
  <si>
    <t>R6-3</t>
  </si>
  <si>
    <t>Port of Ashmouth status</t>
  </si>
  <si>
    <t>Union and port authority have a draft agreement; vote scheduled tonight.</t>
  </si>
  <si>
    <t>R7-1</t>
  </si>
  <si>
    <t>Independent Harbourline exposure estimate</t>
  </si>
  <si>
    <t>Exposure is roughly 4% of the bank's equity: painful, not fatal. Dividend at risk.</t>
  </si>
  <si>
    <t>R8-1</t>
  </si>
  <si>
    <t>Will the subsidy act return?</t>
  </si>
  <si>
    <t>Treasury sources: no reintroduction before the next election.</t>
  </si>
  <si>
    <t>R8-2</t>
  </si>
  <si>
    <t>Ostrava manufacturing check</t>
  </si>
  <si>
    <t>Ostrava's plant passed regulatory inspection last month. Supply constraints are resolved.</t>
  </si>
  <si>
    <t>R9-1</t>
  </si>
  <si>
    <t>Extra macro indicator: core inflation</t>
  </si>
  <si>
    <t>Core inflation 2.1%, down from 3.4% two months ago.</t>
  </si>
  <si>
    <t>R10-1</t>
  </si>
  <si>
    <t>Harbourline dividend check</t>
  </si>
  <si>
    <t>Board minutes show the dividend is 'under review' because of Corvane losses.</t>
  </si>
  <si>
    <t>Question</t>
  </si>
  <si>
    <t>Correct answer</t>
  </si>
  <si>
    <t>Points</t>
  </si>
  <si>
    <t>Will SLRD's reference value finish this round higher or lower than it started?</t>
  </si>
  <si>
    <t>Up (fundamental)</t>
  </si>
  <si>
    <t>Will CLVH's reference value finish this round higher or lower than it started?</t>
  </si>
  <si>
    <t>Will ARCM's reference value finish this round higher or lower than it started?</t>
  </si>
  <si>
    <t>Scoring is on the published reference value (RV end vs RV start), which includes the small VWAP pull; the fundamental column is the expected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</si>
</sst>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%;\-0%;\-"/>
    <numFmt numFmtId="166" formatCode="\+0;\-0"/>
    <numFmt numFmtId="167" formatCode="\+0;\-0;0"/>
  </numFmts>
  <fonts count="8" x14ac:knownFonts="1">
    <font>
      <sz val="11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b/>
      <sz val="11"/>
      <color rgb="FFFFFFFF"/>
      <name val="Arial"/>
    </font>
    <font>
      <sz val="11"/>
      <name val="Arial"/>
    </font>
    <font>
      <sz val="11"/>
      <color rgb="FF0000FF"/>
      <name val="Arial"/>
    </font>
    <font>
      <b/>
      <sz val="11"/>
      <name val="Arial"/>
    </font>
    <font>
      <sz val="11"/>
      <color rgb="FF008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0" borderId="0" xfId="0" applyFont="1"/>
    <xf numFmtId="3" fontId="5" fillId="0" borderId="0" xfId="0" applyNumberFormat="1" applyFont="1"/>
    <xf numFmtId="0" fontId="4" fillId="0" borderId="0" xfId="0" applyFont="1" applyAlignment="1">
      <alignment vertical="top" wrapText="1"/>
    </xf>
    <xf numFmtId="1" fontId="5" fillId="0" borderId="0" xfId="0" applyNumberFormat="1" applyFont="1"/>
    <xf numFmtId="164" fontId="5" fillId="0" borderId="0" xfId="0" applyNumberFormat="1" applyFont="1"/>
    <xf numFmtId="2" fontId="5" fillId="0" borderId="0" xfId="0" applyNumberFormat="1" applyFont="1"/>
    <xf numFmtId="0" fontId="6" fillId="0" borderId="0" xfId="0" applyFont="1"/>
    <xf numFmtId="0" fontId="5" fillId="0" borderId="0" xfId="0" applyFont="1"/>
    <xf numFmtId="1" fontId="7" fillId="0" borderId="0" xfId="0" applyNumberFormat="1" applyFont="1"/>
    <xf numFmtId="3" fontId="4" fillId="0" borderId="0" xfId="0" applyNumberFormat="1" applyFont="1"/>
    <xf numFmtId="3" fontId="7" fillId="0" borderId="0" xfId="0" applyNumberFormat="1" applyFont="1"/>
    <xf numFmtId="2" fontId="7" fillId="0" borderId="0" xfId="0" applyNumberFormat="1" applyFont="1"/>
    <xf numFmtId="165" fontId="5" fillId="0" borderId="0" xfId="0" applyNumberFormat="1" applyFont="1"/>
    <xf numFmtId="2" fontId="4" fillId="0" borderId="0" xfId="0" applyNumberFormat="1" applyFont="1"/>
    <xf numFmtId="164" fontId="4" fillId="0" borderId="0" xfId="0" applyNumberFormat="1" applyFont="1"/>
    <xf numFmtId="0" fontId="5" fillId="0" borderId="0" xfId="0" applyFont="1" applyAlignment="1">
      <alignment vertical="top" wrapText="1"/>
    </xf>
    <xf numFmtId="166" fontId="5" fillId="0" borderId="0" xfId="0" applyNumberFormat="1" applyFont="1"/>
    <xf numFmtId="165" fontId="7" fillId="0" borderId="0" xfId="0" applyNumberFormat="1" applyFont="1"/>
    <xf numFmtId="167" fontId="4" fillId="0" borderId="0" xfId="0" applyNumberFormat="1" applyFont="1"/>
    <xf numFmtId="0" fontId="7" fillId="0" borderId="0" xfId="0" applyFont="1"/>
    <xf numFmtId="167" fontId="7" fillId="0" borderId="0" xfId="0" applyNumberFormat="1" applyFont="1"/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4.5" x14ac:dyDescent="0.35"/>
  <cols>
    <col min="1" max="1" width="110" customWidth="1"/>
  </cols>
  <sheetData>
    <row r="1" spans="1:1" ht="15.5" x14ac:dyDescent="0.35">
      <c r="A1" s="1" t="s">
        <v>0</v>
      </c>
    </row>
    <row r="2" spans="1:1" x14ac:dyDescent="0.35">
      <c r="A2" s="2"/>
    </row>
    <row r="3" spans="1:1" x14ac:dyDescent="0.35">
      <c r="A3" s="2" t="s">
        <v>1</v>
      </c>
    </row>
    <row r="4" spans="1:1" x14ac:dyDescent="0.35">
      <c r="A4" s="2" t="s">
        <v>2</v>
      </c>
    </row>
    <row r="5" spans="1:1" x14ac:dyDescent="0.35">
      <c r="A5" s="2"/>
    </row>
    <row r="6" spans="1:1" x14ac:dyDescent="0.35">
      <c r="A6" s="2" t="s">
        <v>3</v>
      </c>
    </row>
    <row r="7" spans="1:1" x14ac:dyDescent="0.35">
      <c r="A7" s="2" t="s">
        <v>4</v>
      </c>
    </row>
    <row r="8" spans="1:1" x14ac:dyDescent="0.35">
      <c r="A8" s="2"/>
    </row>
    <row r="9" spans="1:1" x14ac:dyDescent="0.35">
      <c r="A9" s="2" t="s">
        <v>5</v>
      </c>
    </row>
    <row r="10" spans="1:1" x14ac:dyDescent="0.35">
      <c r="A10" s="2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14" customWidth="1"/>
    <col min="3" max="3" width="70" customWidth="1"/>
  </cols>
  <sheetData>
    <row r="1" spans="1:3" x14ac:dyDescent="0.35">
      <c r="A1" s="3" t="s">
        <v>7</v>
      </c>
      <c r="B1" s="3" t="s">
        <v>8</v>
      </c>
      <c r="C1" s="3" t="s">
        <v>9</v>
      </c>
    </row>
    <row r="2" spans="1:3" x14ac:dyDescent="0.35">
      <c r="A2" s="4" t="s">
        <v>10</v>
      </c>
      <c r="B2" s="5">
        <v>100000</v>
      </c>
      <c r="C2" s="6" t="s">
        <v>11</v>
      </c>
    </row>
    <row r="3" spans="1:3" ht="28" x14ac:dyDescent="0.35">
      <c r="A3" s="4" t="s">
        <v>12</v>
      </c>
      <c r="B3" s="5">
        <v>60000</v>
      </c>
      <c r="C3" s="6" t="s">
        <v>13</v>
      </c>
    </row>
    <row r="4" spans="1:3" x14ac:dyDescent="0.35">
      <c r="A4" s="4" t="s">
        <v>14</v>
      </c>
      <c r="B4" s="5">
        <v>4000</v>
      </c>
      <c r="C4" s="6" t="s">
        <v>15</v>
      </c>
    </row>
    <row r="5" spans="1:3" x14ac:dyDescent="0.35">
      <c r="A5" s="4" t="s">
        <v>16</v>
      </c>
      <c r="B5" s="5">
        <v>30000</v>
      </c>
      <c r="C5" s="6" t="s">
        <v>17</v>
      </c>
    </row>
    <row r="6" spans="1:3" x14ac:dyDescent="0.35">
      <c r="A6" s="4" t="s">
        <v>18</v>
      </c>
      <c r="B6" s="5">
        <v>12000</v>
      </c>
      <c r="C6" s="6" t="s">
        <v>19</v>
      </c>
    </row>
    <row r="7" spans="1:3" x14ac:dyDescent="0.35">
      <c r="A7" s="4" t="s">
        <v>20</v>
      </c>
      <c r="B7" s="7">
        <v>25</v>
      </c>
      <c r="C7" s="6"/>
    </row>
    <row r="8" spans="1:3" x14ac:dyDescent="0.35">
      <c r="A8" s="4" t="s">
        <v>21</v>
      </c>
      <c r="B8" s="8">
        <v>0.03</v>
      </c>
      <c r="C8" s="6" t="s">
        <v>22</v>
      </c>
    </row>
    <row r="9" spans="1:3" x14ac:dyDescent="0.35">
      <c r="A9" s="4" t="s">
        <v>23</v>
      </c>
      <c r="B9" s="7">
        <v>3</v>
      </c>
      <c r="C9" s="6" t="s">
        <v>24</v>
      </c>
    </row>
    <row r="10" spans="1:3" x14ac:dyDescent="0.35">
      <c r="A10" s="4" t="s">
        <v>25</v>
      </c>
      <c r="B10" s="7">
        <v>10</v>
      </c>
      <c r="C10" s="6"/>
    </row>
    <row r="11" spans="1:3" x14ac:dyDescent="0.35">
      <c r="A11" s="4" t="s">
        <v>26</v>
      </c>
      <c r="B11" s="7">
        <v>20</v>
      </c>
      <c r="C11" s="6"/>
    </row>
    <row r="12" spans="1:3" x14ac:dyDescent="0.35">
      <c r="A12" s="4" t="s">
        <v>27</v>
      </c>
      <c r="B12" s="7">
        <v>200</v>
      </c>
      <c r="C12" s="6"/>
    </row>
    <row r="13" spans="1:3" x14ac:dyDescent="0.35">
      <c r="A13" s="4" t="s">
        <v>28</v>
      </c>
      <c r="B13" s="7">
        <v>20</v>
      </c>
      <c r="C13" s="6"/>
    </row>
    <row r="14" spans="1:3" x14ac:dyDescent="0.35">
      <c r="A14" s="4" t="s">
        <v>29</v>
      </c>
      <c r="B14" s="9">
        <v>0.3</v>
      </c>
      <c r="C14" s="6" t="s">
        <v>30</v>
      </c>
    </row>
    <row r="15" spans="1:3" x14ac:dyDescent="0.35">
      <c r="A15" s="4" t="s">
        <v>31</v>
      </c>
      <c r="B15" s="8">
        <v>0.06</v>
      </c>
      <c r="C15" s="6"/>
    </row>
    <row r="16" spans="1:3" x14ac:dyDescent="0.35">
      <c r="A16" s="4" t="s">
        <v>32</v>
      </c>
      <c r="B16" s="7">
        <v>150</v>
      </c>
      <c r="C16" s="6" t="s">
        <v>33</v>
      </c>
    </row>
    <row r="17" spans="1:3" x14ac:dyDescent="0.35">
      <c r="A17" s="4" t="s">
        <v>34</v>
      </c>
      <c r="B17" s="7">
        <v>5</v>
      </c>
      <c r="C17" s="6"/>
    </row>
    <row r="18" spans="1:3" x14ac:dyDescent="0.35">
      <c r="A18" s="4" t="s">
        <v>35</v>
      </c>
      <c r="B18" s="7">
        <v>3</v>
      </c>
      <c r="C18" s="6"/>
    </row>
    <row r="19" spans="1:3" x14ac:dyDescent="0.35">
      <c r="A19" s="4" t="s">
        <v>36</v>
      </c>
      <c r="B19" s="8">
        <v>0.01</v>
      </c>
      <c r="C19" s="6" t="s">
        <v>37</v>
      </c>
    </row>
    <row r="20" spans="1:3" x14ac:dyDescent="0.35">
      <c r="A20" s="4" t="s">
        <v>38</v>
      </c>
      <c r="B20" s="8">
        <v>0.01</v>
      </c>
      <c r="C20" s="6"/>
    </row>
    <row r="21" spans="1:3" x14ac:dyDescent="0.35">
      <c r="A21" s="4" t="s">
        <v>39</v>
      </c>
      <c r="B21" s="7">
        <v>3</v>
      </c>
      <c r="C21" s="6"/>
    </row>
    <row r="22" spans="1:3" x14ac:dyDescent="0.35">
      <c r="A22" s="4" t="s">
        <v>40</v>
      </c>
      <c r="B22" s="5">
        <v>6000</v>
      </c>
      <c r="C22" s="6"/>
    </row>
    <row r="23" spans="1:3" x14ac:dyDescent="0.35">
      <c r="A23" s="4" t="s">
        <v>41</v>
      </c>
      <c r="B23" s="8">
        <v>0.01</v>
      </c>
      <c r="C23" s="6" t="s">
        <v>42</v>
      </c>
    </row>
    <row r="24" spans="1:3" x14ac:dyDescent="0.35">
      <c r="A24" s="4" t="s">
        <v>43</v>
      </c>
      <c r="B24" s="8">
        <v>0.08</v>
      </c>
      <c r="C24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26" customWidth="1"/>
    <col min="3" max="3" width="24" customWidth="1"/>
    <col min="4" max="4" width="60" customWidth="1"/>
    <col min="5" max="6" width="11" customWidth="1"/>
    <col min="7" max="7" width="50" customWidth="1"/>
    <col min="8" max="8" width="12" customWidth="1"/>
    <col min="9" max="9" width="11" customWidth="1"/>
    <col min="10" max="10" width="14" customWidth="1"/>
  </cols>
  <sheetData>
    <row r="1" spans="1:10" ht="28" x14ac:dyDescent="0.35">
      <c r="A1" s="3" t="s">
        <v>44</v>
      </c>
      <c r="B1" s="3" t="s">
        <v>45</v>
      </c>
      <c r="C1" s="3" t="s">
        <v>46</v>
      </c>
      <c r="D1" s="3" t="s">
        <v>47</v>
      </c>
      <c r="E1" s="3" t="s">
        <v>48</v>
      </c>
      <c r="F1" s="3" t="s">
        <v>49</v>
      </c>
      <c r="G1" s="3" t="s">
        <v>50</v>
      </c>
      <c r="H1" s="3" t="s">
        <v>51</v>
      </c>
      <c r="I1" s="3" t="s">
        <v>52</v>
      </c>
      <c r="J1" s="3" t="s">
        <v>53</v>
      </c>
    </row>
    <row r="2" spans="1:10" ht="28" x14ac:dyDescent="0.35">
      <c r="A2" s="10" t="s">
        <v>54</v>
      </c>
      <c r="B2" s="4" t="s">
        <v>55</v>
      </c>
      <c r="C2" s="4" t="s">
        <v>56</v>
      </c>
      <c r="D2" s="6" t="s">
        <v>57</v>
      </c>
      <c r="E2" s="9">
        <v>142</v>
      </c>
      <c r="F2" s="11" t="s">
        <v>58</v>
      </c>
      <c r="G2" s="6" t="s">
        <v>59</v>
      </c>
      <c r="H2" s="12">
        <f>ROUND(Parameters!$B$4/E2,0)</f>
        <v>28</v>
      </c>
      <c r="I2" s="12">
        <f>INT(Parameters!$B$5/E2)</f>
        <v>211</v>
      </c>
      <c r="J2" s="13">
        <f t="shared" ref="J2:J11" si="0">H2*E2</f>
        <v>3976</v>
      </c>
    </row>
    <row r="3" spans="1:10" ht="28" x14ac:dyDescent="0.35">
      <c r="A3" s="10" t="s">
        <v>60</v>
      </c>
      <c r="B3" s="4" t="s">
        <v>61</v>
      </c>
      <c r="C3" s="4" t="s">
        <v>62</v>
      </c>
      <c r="D3" s="6" t="s">
        <v>63</v>
      </c>
      <c r="E3" s="9">
        <v>88</v>
      </c>
      <c r="F3" s="11" t="s">
        <v>64</v>
      </c>
      <c r="G3" s="6" t="s">
        <v>65</v>
      </c>
      <c r="H3" s="12">
        <f>ROUND(Parameters!$B$4/E3,0)</f>
        <v>45</v>
      </c>
      <c r="I3" s="12">
        <f>INT(Parameters!$B$5/E3)</f>
        <v>340</v>
      </c>
      <c r="J3" s="13">
        <f t="shared" si="0"/>
        <v>3960</v>
      </c>
    </row>
    <row r="4" spans="1:10" ht="28" x14ac:dyDescent="0.35">
      <c r="A4" s="10" t="s">
        <v>66</v>
      </c>
      <c r="B4" s="4" t="s">
        <v>67</v>
      </c>
      <c r="C4" s="4" t="s">
        <v>68</v>
      </c>
      <c r="D4" s="6" t="s">
        <v>69</v>
      </c>
      <c r="E4" s="9">
        <v>74</v>
      </c>
      <c r="F4" s="11" t="s">
        <v>64</v>
      </c>
      <c r="G4" s="6" t="s">
        <v>70</v>
      </c>
      <c r="H4" s="12">
        <f>ROUND(Parameters!$B$4/E4,0)</f>
        <v>54</v>
      </c>
      <c r="I4" s="12">
        <f>INT(Parameters!$B$5/E4)</f>
        <v>405</v>
      </c>
      <c r="J4" s="13">
        <f t="shared" si="0"/>
        <v>3996</v>
      </c>
    </row>
    <row r="5" spans="1:10" ht="28" x14ac:dyDescent="0.35">
      <c r="A5" s="10" t="s">
        <v>71</v>
      </c>
      <c r="B5" s="4" t="s">
        <v>72</v>
      </c>
      <c r="C5" s="4" t="s">
        <v>73</v>
      </c>
      <c r="D5" s="6" t="s">
        <v>74</v>
      </c>
      <c r="E5" s="9">
        <v>126</v>
      </c>
      <c r="F5" s="11" t="s">
        <v>58</v>
      </c>
      <c r="G5" s="6" t="s">
        <v>75</v>
      </c>
      <c r="H5" s="12">
        <f>ROUND(Parameters!$B$4/E5,0)</f>
        <v>32</v>
      </c>
      <c r="I5" s="12">
        <f>INT(Parameters!$B$5/E5)</f>
        <v>238</v>
      </c>
      <c r="J5" s="13">
        <f t="shared" si="0"/>
        <v>4032</v>
      </c>
    </row>
    <row r="6" spans="1:10" ht="28" x14ac:dyDescent="0.35">
      <c r="A6" s="10" t="s">
        <v>76</v>
      </c>
      <c r="B6" s="4" t="s">
        <v>77</v>
      </c>
      <c r="C6" s="4" t="s">
        <v>78</v>
      </c>
      <c r="D6" s="6" t="s">
        <v>79</v>
      </c>
      <c r="E6" s="9">
        <v>64</v>
      </c>
      <c r="F6" s="11" t="s">
        <v>64</v>
      </c>
      <c r="G6" s="6" t="s">
        <v>80</v>
      </c>
      <c r="H6" s="12">
        <f>ROUND(Parameters!$B$4/E6,0)</f>
        <v>63</v>
      </c>
      <c r="I6" s="12">
        <f>INT(Parameters!$B$5/E6)</f>
        <v>468</v>
      </c>
      <c r="J6" s="13">
        <f t="shared" si="0"/>
        <v>4032</v>
      </c>
    </row>
    <row r="7" spans="1:10" ht="28" x14ac:dyDescent="0.35">
      <c r="A7" s="10" t="s">
        <v>81</v>
      </c>
      <c r="B7" s="4" t="s">
        <v>82</v>
      </c>
      <c r="C7" s="4" t="s">
        <v>83</v>
      </c>
      <c r="D7" s="6" t="s">
        <v>84</v>
      </c>
      <c r="E7" s="9">
        <v>96</v>
      </c>
      <c r="F7" s="11" t="s">
        <v>64</v>
      </c>
      <c r="G7" s="6" t="s">
        <v>85</v>
      </c>
      <c r="H7" s="12">
        <f>ROUND(Parameters!$B$4/E7,0)</f>
        <v>42</v>
      </c>
      <c r="I7" s="12">
        <f>INT(Parameters!$B$5/E7)</f>
        <v>312</v>
      </c>
      <c r="J7" s="13">
        <f t="shared" si="0"/>
        <v>4032</v>
      </c>
    </row>
    <row r="8" spans="1:10" ht="28" x14ac:dyDescent="0.35">
      <c r="A8" s="10" t="s">
        <v>86</v>
      </c>
      <c r="B8" s="4" t="s">
        <v>87</v>
      </c>
      <c r="C8" s="4" t="s">
        <v>88</v>
      </c>
      <c r="D8" s="6" t="s">
        <v>89</v>
      </c>
      <c r="E8" s="9">
        <v>68</v>
      </c>
      <c r="F8" s="11" t="s">
        <v>64</v>
      </c>
      <c r="G8" s="6" t="s">
        <v>90</v>
      </c>
      <c r="H8" s="12">
        <f>ROUND(Parameters!$B$4/E8,0)</f>
        <v>59</v>
      </c>
      <c r="I8" s="12">
        <f>INT(Parameters!$B$5/E8)</f>
        <v>441</v>
      </c>
      <c r="J8" s="13">
        <f t="shared" si="0"/>
        <v>4012</v>
      </c>
    </row>
    <row r="9" spans="1:10" ht="28" x14ac:dyDescent="0.35">
      <c r="A9" s="10" t="s">
        <v>91</v>
      </c>
      <c r="B9" s="4" t="s">
        <v>92</v>
      </c>
      <c r="C9" s="4" t="s">
        <v>93</v>
      </c>
      <c r="D9" s="6" t="s">
        <v>94</v>
      </c>
      <c r="E9" s="9">
        <v>82</v>
      </c>
      <c r="F9" s="11" t="s">
        <v>64</v>
      </c>
      <c r="G9" s="6" t="s">
        <v>95</v>
      </c>
      <c r="H9" s="12">
        <f>ROUND(Parameters!$B$4/E9,0)</f>
        <v>49</v>
      </c>
      <c r="I9" s="12">
        <f>INT(Parameters!$B$5/E9)</f>
        <v>365</v>
      </c>
      <c r="J9" s="13">
        <f t="shared" si="0"/>
        <v>4018</v>
      </c>
    </row>
    <row r="10" spans="1:10" ht="28" x14ac:dyDescent="0.35">
      <c r="A10" s="10" t="s">
        <v>96</v>
      </c>
      <c r="B10" s="4" t="s">
        <v>97</v>
      </c>
      <c r="C10" s="4" t="s">
        <v>98</v>
      </c>
      <c r="D10" s="6" t="s">
        <v>99</v>
      </c>
      <c r="E10" s="9">
        <v>61</v>
      </c>
      <c r="F10" s="11" t="s">
        <v>64</v>
      </c>
      <c r="G10" s="6" t="s">
        <v>100</v>
      </c>
      <c r="H10" s="12">
        <f>ROUND(Parameters!$B$4/E10,0)</f>
        <v>66</v>
      </c>
      <c r="I10" s="12">
        <f>INT(Parameters!$B$5/E10)</f>
        <v>491</v>
      </c>
      <c r="J10" s="13">
        <f t="shared" si="0"/>
        <v>4026</v>
      </c>
    </row>
    <row r="11" spans="1:10" ht="28" x14ac:dyDescent="0.35">
      <c r="A11" s="10" t="s">
        <v>101</v>
      </c>
      <c r="B11" s="4" t="s">
        <v>102</v>
      </c>
      <c r="C11" s="4" t="s">
        <v>103</v>
      </c>
      <c r="D11" s="6" t="s">
        <v>104</v>
      </c>
      <c r="E11" s="9">
        <v>110</v>
      </c>
      <c r="F11" s="11" t="s">
        <v>58</v>
      </c>
      <c r="G11" s="6" t="s">
        <v>105</v>
      </c>
      <c r="H11" s="12">
        <f>ROUND(Parameters!$B$4/E11,0)</f>
        <v>36</v>
      </c>
      <c r="I11" s="12">
        <f>INT(Parameters!$B$5/E11)</f>
        <v>272</v>
      </c>
      <c r="J11" s="13">
        <f t="shared" si="0"/>
        <v>3960</v>
      </c>
    </row>
    <row r="12" spans="1:10" x14ac:dyDescent="0.35">
      <c r="I12" s="10" t="s">
        <v>106</v>
      </c>
      <c r="J12" s="13">
        <f>SUM(J2:J11)</f>
        <v>40044</v>
      </c>
    </row>
    <row r="13" spans="1:10" x14ac:dyDescent="0.35">
      <c r="I13" s="10" t="s">
        <v>107</v>
      </c>
      <c r="J13" s="14">
        <f>Parameters!$B$2-J12</f>
        <v>59956</v>
      </c>
    </row>
    <row r="14" spans="1:10" x14ac:dyDescent="0.35">
      <c r="I14" s="10" t="s">
        <v>108</v>
      </c>
      <c r="J14" s="13">
        <f>J12+J13</f>
        <v>100000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9" customWidth="1"/>
    <col min="3" max="12" width="7" customWidth="1"/>
    <col min="13" max="23" width="9" customWidth="1"/>
    <col min="24" max="24" width="12" customWidth="1"/>
  </cols>
  <sheetData>
    <row r="1" spans="1:24" x14ac:dyDescent="0.35">
      <c r="A1" s="3" t="s">
        <v>44</v>
      </c>
      <c r="B1" s="3" t="s">
        <v>109</v>
      </c>
      <c r="C1" s="3" t="s">
        <v>110</v>
      </c>
      <c r="D1" s="3" t="s">
        <v>111</v>
      </c>
      <c r="E1" s="3" t="s">
        <v>112</v>
      </c>
      <c r="F1" s="3" t="s">
        <v>113</v>
      </c>
      <c r="G1" s="3" t="s">
        <v>114</v>
      </c>
      <c r="H1" s="3" t="s">
        <v>115</v>
      </c>
      <c r="I1" s="3" t="s">
        <v>116</v>
      </c>
      <c r="J1" s="3" t="s">
        <v>117</v>
      </c>
      <c r="K1" s="3" t="s">
        <v>118</v>
      </c>
      <c r="L1" s="3" t="s">
        <v>119</v>
      </c>
      <c r="M1" s="3" t="s">
        <v>120</v>
      </c>
      <c r="N1" s="3" t="s">
        <v>121</v>
      </c>
      <c r="O1" s="3" t="s">
        <v>122</v>
      </c>
      <c r="P1" s="3" t="s">
        <v>123</v>
      </c>
      <c r="Q1" s="3" t="s">
        <v>124</v>
      </c>
      <c r="R1" s="3" t="s">
        <v>125</v>
      </c>
      <c r="S1" s="3" t="s">
        <v>126</v>
      </c>
      <c r="T1" s="3" t="s">
        <v>127</v>
      </c>
      <c r="U1" s="3" t="s">
        <v>128</v>
      </c>
      <c r="V1" s="3" t="s">
        <v>129</v>
      </c>
      <c r="W1" s="3" t="s">
        <v>130</v>
      </c>
      <c r="X1" s="3" t="s">
        <v>131</v>
      </c>
    </row>
    <row r="2" spans="1:24" x14ac:dyDescent="0.35">
      <c r="A2" s="10" t="s">
        <v>54</v>
      </c>
      <c r="B2" s="15">
        <f>Stocks!E2</f>
        <v>142</v>
      </c>
      <c r="C2" s="16">
        <v>0.03</v>
      </c>
      <c r="D2" s="16">
        <v>-7.0000000000000007E-2</v>
      </c>
      <c r="E2" s="16">
        <v>0.02</v>
      </c>
      <c r="F2" s="16">
        <v>-0.03</v>
      </c>
      <c r="G2" s="16">
        <v>-0.08</v>
      </c>
      <c r="H2" s="16">
        <v>0.03</v>
      </c>
      <c r="I2" s="16">
        <v>-0.03</v>
      </c>
      <c r="J2" s="16">
        <v>0.05</v>
      </c>
      <c r="K2" s="16">
        <v>0.04</v>
      </c>
      <c r="L2" s="16">
        <v>0.02</v>
      </c>
      <c r="M2" s="17">
        <f t="shared" ref="M2:M11" si="0">B2</f>
        <v>142</v>
      </c>
      <c r="N2" s="17">
        <f t="shared" ref="N2:N11" si="1">M2*(1+C2)</f>
        <v>146.26</v>
      </c>
      <c r="O2" s="17">
        <f t="shared" ref="O2:O11" si="2">N2*(1+D2)</f>
        <v>136.02179999999998</v>
      </c>
      <c r="P2" s="17">
        <f t="shared" ref="P2:P11" si="3">O2*(1+E2)</f>
        <v>138.74223599999999</v>
      </c>
      <c r="Q2" s="17">
        <f t="shared" ref="Q2:Q11" si="4">P2*(1+F2)</f>
        <v>134.57996892</v>
      </c>
      <c r="R2" s="17">
        <f t="shared" ref="R2:R11" si="5">Q2*(1+G2)</f>
        <v>123.8135714064</v>
      </c>
      <c r="S2" s="17">
        <f t="shared" ref="S2:S11" si="6">R2*(1+H2)</f>
        <v>127.527978548592</v>
      </c>
      <c r="T2" s="17">
        <f t="shared" ref="T2:T11" si="7">S2*(1+I2)</f>
        <v>123.70213919213424</v>
      </c>
      <c r="U2" s="17">
        <f t="shared" ref="U2:U11" si="8">T2*(1+J2)</f>
        <v>129.88724615174095</v>
      </c>
      <c r="V2" s="17">
        <f t="shared" ref="V2:V11" si="9">U2*(1+K2)</f>
        <v>135.0827359978106</v>
      </c>
      <c r="W2" s="17">
        <f t="shared" ref="W2:W11" si="10">V2*(1+L2)</f>
        <v>137.78439071776683</v>
      </c>
      <c r="X2" s="18">
        <f t="shared" ref="X2:X11" si="11">W2/B2-1</f>
        <v>-2.9687389311501278E-2</v>
      </c>
    </row>
    <row r="3" spans="1:24" x14ac:dyDescent="0.35">
      <c r="A3" s="10" t="s">
        <v>60</v>
      </c>
      <c r="B3" s="15">
        <f>Stocks!E3</f>
        <v>88</v>
      </c>
      <c r="C3" s="16">
        <v>0.01</v>
      </c>
      <c r="D3" s="16">
        <v>0.02</v>
      </c>
      <c r="E3" s="16">
        <v>0</v>
      </c>
      <c r="F3" s="16">
        <v>0</v>
      </c>
      <c r="G3" s="16">
        <v>0.1</v>
      </c>
      <c r="H3" s="16">
        <v>0.02</v>
      </c>
      <c r="I3" s="16">
        <v>-0.09</v>
      </c>
      <c r="J3" s="16">
        <v>0.03</v>
      </c>
      <c r="K3" s="16">
        <v>-0.04</v>
      </c>
      <c r="L3" s="16">
        <v>-0.05</v>
      </c>
      <c r="M3" s="17">
        <f t="shared" si="0"/>
        <v>88</v>
      </c>
      <c r="N3" s="17">
        <f t="shared" si="1"/>
        <v>88.88</v>
      </c>
      <c r="O3" s="17">
        <f t="shared" si="2"/>
        <v>90.657600000000002</v>
      </c>
      <c r="P3" s="17">
        <f t="shared" si="3"/>
        <v>90.657600000000002</v>
      </c>
      <c r="Q3" s="17">
        <f t="shared" si="4"/>
        <v>90.657600000000002</v>
      </c>
      <c r="R3" s="17">
        <f t="shared" si="5"/>
        <v>99.723360000000014</v>
      </c>
      <c r="S3" s="17">
        <f t="shared" si="6"/>
        <v>101.71782720000002</v>
      </c>
      <c r="T3" s="17">
        <f t="shared" si="7"/>
        <v>92.563222752000016</v>
      </c>
      <c r="U3" s="17">
        <f t="shared" si="8"/>
        <v>95.340119434560023</v>
      </c>
      <c r="V3" s="17">
        <f t="shared" si="9"/>
        <v>91.526514657177614</v>
      </c>
      <c r="W3" s="17">
        <f t="shared" si="10"/>
        <v>86.950188924318724</v>
      </c>
      <c r="X3" s="18">
        <f t="shared" si="11"/>
        <v>-1.1929671314559909E-2</v>
      </c>
    </row>
    <row r="4" spans="1:24" x14ac:dyDescent="0.35">
      <c r="A4" s="10" t="s">
        <v>66</v>
      </c>
      <c r="B4" s="15">
        <f>Stocks!E4</f>
        <v>74</v>
      </c>
      <c r="C4" s="16">
        <v>-0.02</v>
      </c>
      <c r="D4" s="16">
        <v>0.01</v>
      </c>
      <c r="E4" s="16">
        <v>-0.04</v>
      </c>
      <c r="F4" s="16">
        <v>0.02</v>
      </c>
      <c r="G4" s="16">
        <v>-0.03</v>
      </c>
      <c r="H4" s="16">
        <v>0.04</v>
      </c>
      <c r="I4" s="16">
        <v>0.02</v>
      </c>
      <c r="J4" s="16">
        <v>0.14000000000000001</v>
      </c>
      <c r="K4" s="16">
        <v>-0.03</v>
      </c>
      <c r="L4" s="16">
        <v>0.03</v>
      </c>
      <c r="M4" s="17">
        <f t="shared" si="0"/>
        <v>74</v>
      </c>
      <c r="N4" s="17">
        <f t="shared" si="1"/>
        <v>72.52</v>
      </c>
      <c r="O4" s="17">
        <f t="shared" si="2"/>
        <v>73.245199999999997</v>
      </c>
      <c r="P4" s="17">
        <f t="shared" si="3"/>
        <v>70.315391999999989</v>
      </c>
      <c r="Q4" s="17">
        <f t="shared" si="4"/>
        <v>71.721699839999985</v>
      </c>
      <c r="R4" s="17">
        <f t="shared" si="5"/>
        <v>69.570048844799985</v>
      </c>
      <c r="S4" s="17">
        <f t="shared" si="6"/>
        <v>72.352850798591987</v>
      </c>
      <c r="T4" s="17">
        <f t="shared" si="7"/>
        <v>73.799907814563824</v>
      </c>
      <c r="U4" s="17">
        <f t="shared" si="8"/>
        <v>84.131894908602774</v>
      </c>
      <c r="V4" s="17">
        <f t="shared" si="9"/>
        <v>81.607938061344683</v>
      </c>
      <c r="W4" s="17">
        <f t="shared" si="10"/>
        <v>84.056176203185032</v>
      </c>
      <c r="X4" s="18">
        <f t="shared" si="11"/>
        <v>0.13589427301601398</v>
      </c>
    </row>
    <row r="5" spans="1:24" x14ac:dyDescent="0.35">
      <c r="A5" s="10" t="s">
        <v>71</v>
      </c>
      <c r="B5" s="15">
        <f>Stocks!E5</f>
        <v>126</v>
      </c>
      <c r="C5" s="16">
        <v>0.02</v>
      </c>
      <c r="D5" s="16">
        <v>0.05</v>
      </c>
      <c r="E5" s="16">
        <v>0.01</v>
      </c>
      <c r="F5" s="16">
        <v>0</v>
      </c>
      <c r="G5" s="16">
        <v>0.02</v>
      </c>
      <c r="H5" s="16">
        <v>0.06</v>
      </c>
      <c r="I5" s="16">
        <v>0.01</v>
      </c>
      <c r="J5" s="16">
        <v>-0.12</v>
      </c>
      <c r="K5" s="16">
        <v>-0.02</v>
      </c>
      <c r="L5" s="16">
        <v>0.03</v>
      </c>
      <c r="M5" s="17">
        <f t="shared" si="0"/>
        <v>126</v>
      </c>
      <c r="N5" s="17">
        <f t="shared" si="1"/>
        <v>128.52000000000001</v>
      </c>
      <c r="O5" s="17">
        <f t="shared" si="2"/>
        <v>134.94600000000003</v>
      </c>
      <c r="P5" s="17">
        <f t="shared" si="3"/>
        <v>136.29546000000002</v>
      </c>
      <c r="Q5" s="17">
        <f t="shared" si="4"/>
        <v>136.29546000000002</v>
      </c>
      <c r="R5" s="17">
        <f t="shared" si="5"/>
        <v>139.02136920000001</v>
      </c>
      <c r="S5" s="17">
        <f t="shared" si="6"/>
        <v>147.36265135200003</v>
      </c>
      <c r="T5" s="17">
        <f t="shared" si="7"/>
        <v>148.83627786552003</v>
      </c>
      <c r="U5" s="17">
        <f t="shared" si="8"/>
        <v>130.97592452165762</v>
      </c>
      <c r="V5" s="17">
        <f t="shared" si="9"/>
        <v>128.35640603122445</v>
      </c>
      <c r="W5" s="17">
        <f t="shared" si="10"/>
        <v>132.20709821216118</v>
      </c>
      <c r="X5" s="18">
        <f t="shared" si="11"/>
        <v>4.9262684223501552E-2</v>
      </c>
    </row>
    <row r="6" spans="1:24" x14ac:dyDescent="0.35">
      <c r="A6" s="10" t="s">
        <v>76</v>
      </c>
      <c r="B6" s="15">
        <f>Stocks!E6</f>
        <v>64</v>
      </c>
      <c r="C6" s="16">
        <v>0.01</v>
      </c>
      <c r="D6" s="16">
        <v>-0.01</v>
      </c>
      <c r="E6" s="16">
        <v>0.02</v>
      </c>
      <c r="F6" s="16">
        <v>-0.09</v>
      </c>
      <c r="G6" s="16">
        <v>-0.05</v>
      </c>
      <c r="H6" s="16">
        <v>0.03</v>
      </c>
      <c r="I6" s="16">
        <v>-0.02</v>
      </c>
      <c r="J6" s="16">
        <v>0.04</v>
      </c>
      <c r="K6" s="16">
        <v>0.05</v>
      </c>
      <c r="L6" s="16">
        <v>0.06</v>
      </c>
      <c r="M6" s="17">
        <f t="shared" si="0"/>
        <v>64</v>
      </c>
      <c r="N6" s="17">
        <f t="shared" si="1"/>
        <v>64.64</v>
      </c>
      <c r="O6" s="17">
        <f t="shared" si="2"/>
        <v>63.993600000000001</v>
      </c>
      <c r="P6" s="17">
        <f t="shared" si="3"/>
        <v>65.273471999999998</v>
      </c>
      <c r="Q6" s="17">
        <f t="shared" si="4"/>
        <v>59.398859520000002</v>
      </c>
      <c r="R6" s="17">
        <f t="shared" si="5"/>
        <v>56.428916543999996</v>
      </c>
      <c r="S6" s="17">
        <f t="shared" si="6"/>
        <v>58.121784040319994</v>
      </c>
      <c r="T6" s="17">
        <f t="shared" si="7"/>
        <v>56.959348359513591</v>
      </c>
      <c r="U6" s="17">
        <f t="shared" si="8"/>
        <v>59.237722293894137</v>
      </c>
      <c r="V6" s="17">
        <f t="shared" si="9"/>
        <v>62.199608408588844</v>
      </c>
      <c r="W6" s="17">
        <f t="shared" si="10"/>
        <v>65.931584913104174</v>
      </c>
      <c r="X6" s="18">
        <f t="shared" si="11"/>
        <v>3.0181014267252726E-2</v>
      </c>
    </row>
    <row r="7" spans="1:24" x14ac:dyDescent="0.35">
      <c r="A7" s="10" t="s">
        <v>81</v>
      </c>
      <c r="B7" s="15">
        <f>Stocks!E7</f>
        <v>96</v>
      </c>
      <c r="C7" s="16">
        <v>0.02</v>
      </c>
      <c r="D7" s="16">
        <v>-0.02</v>
      </c>
      <c r="E7" s="16">
        <v>0.03</v>
      </c>
      <c r="F7" s="16">
        <v>-0.05</v>
      </c>
      <c r="G7" s="16">
        <v>-0.04</v>
      </c>
      <c r="H7" s="16">
        <v>0.04</v>
      </c>
      <c r="I7" s="16">
        <v>-0.03</v>
      </c>
      <c r="J7" s="16">
        <v>-0.06</v>
      </c>
      <c r="K7" s="16">
        <v>0.03</v>
      </c>
      <c r="L7" s="16">
        <v>0.02</v>
      </c>
      <c r="M7" s="17">
        <f t="shared" si="0"/>
        <v>96</v>
      </c>
      <c r="N7" s="17">
        <f t="shared" si="1"/>
        <v>97.92</v>
      </c>
      <c r="O7" s="17">
        <f t="shared" si="2"/>
        <v>95.961600000000004</v>
      </c>
      <c r="P7" s="17">
        <f t="shared" si="3"/>
        <v>98.840448000000009</v>
      </c>
      <c r="Q7" s="17">
        <f t="shared" si="4"/>
        <v>93.89842560000001</v>
      </c>
      <c r="R7" s="17">
        <f t="shared" si="5"/>
        <v>90.142488576000005</v>
      </c>
      <c r="S7" s="17">
        <f t="shared" si="6"/>
        <v>93.748188119040009</v>
      </c>
      <c r="T7" s="17">
        <f t="shared" si="7"/>
        <v>90.9357424754688</v>
      </c>
      <c r="U7" s="17">
        <f t="shared" si="8"/>
        <v>85.47959792694067</v>
      </c>
      <c r="V7" s="17">
        <f t="shared" si="9"/>
        <v>88.04398586474889</v>
      </c>
      <c r="W7" s="17">
        <f t="shared" si="10"/>
        <v>89.804865582043874</v>
      </c>
      <c r="X7" s="18">
        <f t="shared" si="11"/>
        <v>-6.4532650187043017E-2</v>
      </c>
    </row>
    <row r="8" spans="1:24" x14ac:dyDescent="0.35">
      <c r="A8" s="10" t="s">
        <v>86</v>
      </c>
      <c r="B8" s="15">
        <f>Stocks!E8</f>
        <v>68</v>
      </c>
      <c r="C8" s="16">
        <v>0</v>
      </c>
      <c r="D8" s="16">
        <v>0.01</v>
      </c>
      <c r="E8" s="16">
        <v>0.01</v>
      </c>
      <c r="F8" s="16">
        <v>0.09</v>
      </c>
      <c r="G8" s="16">
        <v>-0.02</v>
      </c>
      <c r="H8" s="16">
        <v>-0.06</v>
      </c>
      <c r="I8" s="16">
        <v>-0.02</v>
      </c>
      <c r="J8" s="16">
        <v>0.02</v>
      </c>
      <c r="K8" s="16">
        <v>0.02</v>
      </c>
      <c r="L8" s="16">
        <v>-0.03</v>
      </c>
      <c r="M8" s="17">
        <f t="shared" si="0"/>
        <v>68</v>
      </c>
      <c r="N8" s="17">
        <f t="shared" si="1"/>
        <v>68</v>
      </c>
      <c r="O8" s="17">
        <f t="shared" si="2"/>
        <v>68.680000000000007</v>
      </c>
      <c r="P8" s="17">
        <f t="shared" si="3"/>
        <v>69.366800000000012</v>
      </c>
      <c r="Q8" s="17">
        <f t="shared" si="4"/>
        <v>75.609812000000019</v>
      </c>
      <c r="R8" s="17">
        <f t="shared" si="5"/>
        <v>74.097615760000011</v>
      </c>
      <c r="S8" s="17">
        <f t="shared" si="6"/>
        <v>69.651758814400011</v>
      </c>
      <c r="T8" s="17">
        <f t="shared" si="7"/>
        <v>68.258723638112016</v>
      </c>
      <c r="U8" s="17">
        <f t="shared" si="8"/>
        <v>69.623898110874265</v>
      </c>
      <c r="V8" s="17">
        <f t="shared" si="9"/>
        <v>71.016376073091749</v>
      </c>
      <c r="W8" s="17">
        <f t="shared" si="10"/>
        <v>68.885884790898999</v>
      </c>
      <c r="X8" s="18">
        <f t="shared" si="11"/>
        <v>1.3027717513220516E-2</v>
      </c>
    </row>
    <row r="9" spans="1:24" x14ac:dyDescent="0.35">
      <c r="A9" s="10" t="s">
        <v>91</v>
      </c>
      <c r="B9" s="15">
        <f>Stocks!E9</f>
        <v>82</v>
      </c>
      <c r="C9" s="16">
        <v>-0.01</v>
      </c>
      <c r="D9" s="16">
        <v>0</v>
      </c>
      <c r="E9" s="16">
        <v>-0.03</v>
      </c>
      <c r="F9" s="16">
        <v>0.01</v>
      </c>
      <c r="G9" s="16">
        <v>-0.04</v>
      </c>
      <c r="H9" s="16">
        <v>-0.02</v>
      </c>
      <c r="I9" s="16">
        <v>-0.03</v>
      </c>
      <c r="J9" s="16">
        <v>0.03</v>
      </c>
      <c r="K9" s="16">
        <v>0.08</v>
      </c>
      <c r="L9" s="16">
        <v>0.02</v>
      </c>
      <c r="M9" s="17">
        <f t="shared" si="0"/>
        <v>82</v>
      </c>
      <c r="N9" s="17">
        <f t="shared" si="1"/>
        <v>81.179999999999993</v>
      </c>
      <c r="O9" s="17">
        <f t="shared" si="2"/>
        <v>81.179999999999993</v>
      </c>
      <c r="P9" s="17">
        <f t="shared" si="3"/>
        <v>78.744599999999991</v>
      </c>
      <c r="Q9" s="17">
        <f t="shared" si="4"/>
        <v>79.532045999999994</v>
      </c>
      <c r="R9" s="17">
        <f t="shared" si="5"/>
        <v>76.350764159999997</v>
      </c>
      <c r="S9" s="17">
        <f t="shared" si="6"/>
        <v>74.823748876799996</v>
      </c>
      <c r="T9" s="17">
        <f t="shared" si="7"/>
        <v>72.579036410495988</v>
      </c>
      <c r="U9" s="17">
        <f t="shared" si="8"/>
        <v>74.756407502810873</v>
      </c>
      <c r="V9" s="17">
        <f t="shared" si="9"/>
        <v>80.736920103035743</v>
      </c>
      <c r="W9" s="17">
        <f t="shared" si="10"/>
        <v>82.351658505096466</v>
      </c>
      <c r="X9" s="18">
        <f t="shared" si="11"/>
        <v>4.2885183548349026E-3</v>
      </c>
    </row>
    <row r="10" spans="1:24" x14ac:dyDescent="0.35">
      <c r="A10" s="10" t="s">
        <v>96</v>
      </c>
      <c r="B10" s="15">
        <f>Stocks!E10</f>
        <v>61</v>
      </c>
      <c r="C10" s="16">
        <v>0.01</v>
      </c>
      <c r="D10" s="16">
        <v>0.02</v>
      </c>
      <c r="E10" s="16">
        <v>-0.01</v>
      </c>
      <c r="F10" s="16">
        <v>-0.06</v>
      </c>
      <c r="G10" s="16">
        <v>0.01</v>
      </c>
      <c r="H10" s="16">
        <v>0.04</v>
      </c>
      <c r="I10" s="16">
        <v>0.01</v>
      </c>
      <c r="J10" s="16">
        <v>0</v>
      </c>
      <c r="K10" s="16">
        <v>0.03</v>
      </c>
      <c r="L10" s="16">
        <v>7.0000000000000007E-2</v>
      </c>
      <c r="M10" s="17">
        <f t="shared" si="0"/>
        <v>61</v>
      </c>
      <c r="N10" s="17">
        <f t="shared" si="1"/>
        <v>61.61</v>
      </c>
      <c r="O10" s="17">
        <f t="shared" si="2"/>
        <v>62.842199999999998</v>
      </c>
      <c r="P10" s="17">
        <f t="shared" si="3"/>
        <v>62.213777999999998</v>
      </c>
      <c r="Q10" s="17">
        <f t="shared" si="4"/>
        <v>58.480951319999996</v>
      </c>
      <c r="R10" s="17">
        <f t="shared" si="5"/>
        <v>59.065760833199995</v>
      </c>
      <c r="S10" s="17">
        <f t="shared" si="6"/>
        <v>61.428391266527996</v>
      </c>
      <c r="T10" s="17">
        <f t="shared" si="7"/>
        <v>62.042675179193274</v>
      </c>
      <c r="U10" s="17">
        <f t="shared" si="8"/>
        <v>62.042675179193274</v>
      </c>
      <c r="V10" s="17">
        <f t="shared" si="9"/>
        <v>63.903955434569077</v>
      </c>
      <c r="W10" s="17">
        <f t="shared" si="10"/>
        <v>68.377232314988916</v>
      </c>
      <c r="X10" s="18">
        <f t="shared" si="11"/>
        <v>0.12093823467194942</v>
      </c>
    </row>
    <row r="11" spans="1:24" x14ac:dyDescent="0.35">
      <c r="A11" s="10" t="s">
        <v>101</v>
      </c>
      <c r="B11" s="15">
        <f>Stocks!E11</f>
        <v>110</v>
      </c>
      <c r="C11" s="16">
        <v>0.03</v>
      </c>
      <c r="D11" s="16">
        <v>0.01</v>
      </c>
      <c r="E11" s="16">
        <v>0.08</v>
      </c>
      <c r="F11" s="16">
        <v>-0.02</v>
      </c>
      <c r="G11" s="16">
        <v>-0.12</v>
      </c>
      <c r="H11" s="16">
        <v>0.02</v>
      </c>
      <c r="I11" s="16">
        <v>-0.04</v>
      </c>
      <c r="J11" s="16">
        <v>-0.2</v>
      </c>
      <c r="K11" s="16">
        <v>0.05</v>
      </c>
      <c r="L11" s="16">
        <v>-0.03</v>
      </c>
      <c r="M11" s="17">
        <f t="shared" si="0"/>
        <v>110</v>
      </c>
      <c r="N11" s="17">
        <f t="shared" si="1"/>
        <v>113.3</v>
      </c>
      <c r="O11" s="17">
        <f t="shared" si="2"/>
        <v>114.43299999999999</v>
      </c>
      <c r="P11" s="17">
        <f t="shared" si="3"/>
        <v>123.58763999999999</v>
      </c>
      <c r="Q11" s="17">
        <f t="shared" si="4"/>
        <v>121.11588719999999</v>
      </c>
      <c r="R11" s="17">
        <f t="shared" si="5"/>
        <v>106.58198073599999</v>
      </c>
      <c r="S11" s="17">
        <f t="shared" si="6"/>
        <v>108.71362035071999</v>
      </c>
      <c r="T11" s="17">
        <f t="shared" si="7"/>
        <v>104.36507553669119</v>
      </c>
      <c r="U11" s="17">
        <f t="shared" si="8"/>
        <v>83.492060429352961</v>
      </c>
      <c r="V11" s="17">
        <f t="shared" si="9"/>
        <v>87.666663450820607</v>
      </c>
      <c r="W11" s="17">
        <f t="shared" si="10"/>
        <v>85.036663547295987</v>
      </c>
      <c r="X11" s="18">
        <f t="shared" si="11"/>
        <v>-0.22693942229730923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" customWidth="1"/>
    <col min="2" max="2" width="22" customWidth="1"/>
    <col min="3" max="3" width="50" customWidth="1"/>
    <col min="4" max="4" width="70" customWidth="1"/>
    <col min="5" max="5" width="50" customWidth="1"/>
    <col min="6" max="6" width="60" customWidth="1"/>
  </cols>
  <sheetData>
    <row r="1" spans="1:6" x14ac:dyDescent="0.35">
      <c r="A1" s="3" t="s">
        <v>132</v>
      </c>
      <c r="B1" s="3" t="s">
        <v>133</v>
      </c>
      <c r="C1" s="3" t="s">
        <v>134</v>
      </c>
      <c r="D1" s="3" t="s">
        <v>135</v>
      </c>
      <c r="E1" s="3" t="s">
        <v>136</v>
      </c>
      <c r="F1" s="3" t="s">
        <v>137</v>
      </c>
    </row>
    <row r="2" spans="1:6" ht="42" x14ac:dyDescent="0.35">
      <c r="A2" s="4">
        <v>1</v>
      </c>
      <c r="B2" s="4" t="s">
        <v>138</v>
      </c>
      <c r="C2" s="19" t="s">
        <v>139</v>
      </c>
      <c r="D2" s="19" t="s">
        <v>140</v>
      </c>
      <c r="E2" s="6" t="s">
        <v>141</v>
      </c>
      <c r="F2" s="6" t="s">
        <v>142</v>
      </c>
    </row>
    <row r="3" spans="1:6" ht="28" x14ac:dyDescent="0.35">
      <c r="A3" s="4">
        <v>1</v>
      </c>
      <c r="B3" s="4" t="s">
        <v>138</v>
      </c>
      <c r="C3" s="19" t="s">
        <v>143</v>
      </c>
      <c r="D3" s="19" t="s">
        <v>144</v>
      </c>
      <c r="E3" s="6" t="s">
        <v>141</v>
      </c>
      <c r="F3" s="6" t="s">
        <v>142</v>
      </c>
    </row>
    <row r="4" spans="1:6" ht="42" x14ac:dyDescent="0.35">
      <c r="A4" s="4">
        <v>2</v>
      </c>
      <c r="B4" s="4" t="s">
        <v>145</v>
      </c>
      <c r="C4" s="19" t="s">
        <v>146</v>
      </c>
      <c r="D4" s="19" t="s">
        <v>147</v>
      </c>
      <c r="E4" s="6" t="s">
        <v>148</v>
      </c>
      <c r="F4" s="6" t="s">
        <v>149</v>
      </c>
    </row>
    <row r="5" spans="1:6" ht="42" x14ac:dyDescent="0.35">
      <c r="A5" s="4">
        <v>2</v>
      </c>
      <c r="B5" s="4" t="s">
        <v>145</v>
      </c>
      <c r="C5" s="19" t="s">
        <v>150</v>
      </c>
      <c r="D5" s="19" t="s">
        <v>151</v>
      </c>
      <c r="E5" s="6" t="s">
        <v>148</v>
      </c>
      <c r="F5" s="6" t="s">
        <v>149</v>
      </c>
    </row>
    <row r="6" spans="1:6" ht="28" x14ac:dyDescent="0.35">
      <c r="A6" s="4">
        <v>3</v>
      </c>
      <c r="B6" s="4" t="s">
        <v>152</v>
      </c>
      <c r="C6" s="19" t="s">
        <v>153</v>
      </c>
      <c r="D6" s="19" t="s">
        <v>154</v>
      </c>
      <c r="E6" s="6" t="s">
        <v>155</v>
      </c>
      <c r="F6" s="6" t="s">
        <v>156</v>
      </c>
    </row>
    <row r="7" spans="1:6" ht="28" x14ac:dyDescent="0.35">
      <c r="A7" s="4">
        <v>3</v>
      </c>
      <c r="B7" s="4" t="s">
        <v>152</v>
      </c>
      <c r="C7" s="19" t="s">
        <v>157</v>
      </c>
      <c r="D7" s="19" t="s">
        <v>158</v>
      </c>
      <c r="E7" s="6" t="s">
        <v>155</v>
      </c>
      <c r="F7" s="6" t="s">
        <v>156</v>
      </c>
    </row>
    <row r="8" spans="1:6" ht="28" x14ac:dyDescent="0.35">
      <c r="A8" s="4">
        <v>4</v>
      </c>
      <c r="B8" s="4" t="s">
        <v>159</v>
      </c>
      <c r="C8" s="19" t="s">
        <v>160</v>
      </c>
      <c r="D8" s="19" t="s">
        <v>161</v>
      </c>
      <c r="E8" s="6" t="s">
        <v>162</v>
      </c>
      <c r="F8" s="6" t="s">
        <v>163</v>
      </c>
    </row>
    <row r="9" spans="1:6" ht="28" x14ac:dyDescent="0.35">
      <c r="A9" s="4">
        <v>5</v>
      </c>
      <c r="B9" s="4" t="s">
        <v>164</v>
      </c>
      <c r="C9" s="19" t="s">
        <v>165</v>
      </c>
      <c r="D9" s="19" t="s">
        <v>166</v>
      </c>
      <c r="E9" s="6" t="s">
        <v>167</v>
      </c>
      <c r="F9" s="6" t="s">
        <v>168</v>
      </c>
    </row>
    <row r="10" spans="1:6" ht="28" x14ac:dyDescent="0.35">
      <c r="A10" s="4">
        <v>6</v>
      </c>
      <c r="B10" s="4" t="s">
        <v>169</v>
      </c>
      <c r="C10" s="19" t="s">
        <v>170</v>
      </c>
      <c r="D10" s="19" t="s">
        <v>171</v>
      </c>
      <c r="E10" s="6" t="s">
        <v>172</v>
      </c>
      <c r="F10" s="6" t="s">
        <v>173</v>
      </c>
    </row>
    <row r="11" spans="1:6" ht="28" x14ac:dyDescent="0.35">
      <c r="A11" s="4">
        <v>6</v>
      </c>
      <c r="B11" s="4" t="s">
        <v>169</v>
      </c>
      <c r="C11" s="19" t="s">
        <v>174</v>
      </c>
      <c r="D11" s="19" t="s">
        <v>175</v>
      </c>
      <c r="E11" s="6" t="s">
        <v>172</v>
      </c>
      <c r="F11" s="6" t="s">
        <v>173</v>
      </c>
    </row>
    <row r="12" spans="1:6" ht="42" x14ac:dyDescent="0.35">
      <c r="A12" s="4">
        <v>7</v>
      </c>
      <c r="B12" s="4" t="s">
        <v>176</v>
      </c>
      <c r="C12" s="19" t="s">
        <v>177</v>
      </c>
      <c r="D12" s="19" t="s">
        <v>178</v>
      </c>
      <c r="E12" s="6" t="s">
        <v>179</v>
      </c>
      <c r="F12" s="6" t="s">
        <v>180</v>
      </c>
    </row>
    <row r="13" spans="1:6" ht="42" x14ac:dyDescent="0.35">
      <c r="A13" s="4">
        <v>7</v>
      </c>
      <c r="B13" s="4" t="s">
        <v>176</v>
      </c>
      <c r="C13" s="19" t="s">
        <v>181</v>
      </c>
      <c r="D13" s="19" t="s">
        <v>182</v>
      </c>
      <c r="E13" s="6" t="s">
        <v>179</v>
      </c>
      <c r="F13" s="6" t="s">
        <v>180</v>
      </c>
    </row>
    <row r="14" spans="1:6" ht="28" x14ac:dyDescent="0.35">
      <c r="A14" s="4">
        <v>8</v>
      </c>
      <c r="B14" s="4" t="s">
        <v>183</v>
      </c>
      <c r="C14" s="19" t="s">
        <v>184</v>
      </c>
      <c r="D14" s="19" t="s">
        <v>185</v>
      </c>
      <c r="E14" s="6" t="s">
        <v>186</v>
      </c>
      <c r="F14" s="6" t="s">
        <v>187</v>
      </c>
    </row>
    <row r="15" spans="1:6" ht="28" x14ac:dyDescent="0.35">
      <c r="A15" s="4">
        <v>8</v>
      </c>
      <c r="B15" s="4" t="s">
        <v>183</v>
      </c>
      <c r="C15" s="19" t="s">
        <v>188</v>
      </c>
      <c r="D15" s="19" t="s">
        <v>189</v>
      </c>
      <c r="E15" s="6" t="s">
        <v>186</v>
      </c>
      <c r="F15" s="6" t="s">
        <v>187</v>
      </c>
    </row>
    <row r="16" spans="1:6" ht="28" x14ac:dyDescent="0.35">
      <c r="A16" s="4">
        <v>9</v>
      </c>
      <c r="B16" s="4" t="s">
        <v>190</v>
      </c>
      <c r="C16" s="19" t="s">
        <v>191</v>
      </c>
      <c r="D16" s="19" t="s">
        <v>192</v>
      </c>
      <c r="E16" s="6" t="s">
        <v>193</v>
      </c>
      <c r="F16" s="6" t="s">
        <v>194</v>
      </c>
    </row>
    <row r="17" spans="1:6" ht="28" x14ac:dyDescent="0.35">
      <c r="A17" s="4">
        <v>9</v>
      </c>
      <c r="B17" s="4" t="s">
        <v>190</v>
      </c>
      <c r="C17" s="19" t="s">
        <v>195</v>
      </c>
      <c r="D17" s="19" t="s">
        <v>196</v>
      </c>
      <c r="E17" s="6" t="s">
        <v>193</v>
      </c>
      <c r="F17" s="6" t="s">
        <v>194</v>
      </c>
    </row>
    <row r="18" spans="1:6" ht="28" x14ac:dyDescent="0.35">
      <c r="A18" s="4">
        <v>10</v>
      </c>
      <c r="B18" s="4" t="s">
        <v>197</v>
      </c>
      <c r="C18" s="19" t="s">
        <v>198</v>
      </c>
      <c r="D18" s="19" t="s">
        <v>199</v>
      </c>
      <c r="E18" s="6" t="s">
        <v>200</v>
      </c>
      <c r="F18" s="6" t="s">
        <v>201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7" customWidth="1"/>
    <col min="3" max="4" width="8" customWidth="1"/>
    <col min="5" max="5" width="16" customWidth="1"/>
    <col min="6" max="6" width="12" customWidth="1"/>
    <col min="7" max="7" width="60" customWidth="1"/>
    <col min="8" max="8" width="10" customWidth="1"/>
    <col min="9" max="9" width="8" customWidth="1"/>
    <col min="10" max="10" width="13" customWidth="1"/>
    <col min="11" max="12" width="10" customWidth="1"/>
    <col min="13" max="13" width="60" customWidth="1"/>
  </cols>
  <sheetData>
    <row r="1" spans="1:13" ht="28" x14ac:dyDescent="0.35">
      <c r="A1" s="3" t="s">
        <v>202</v>
      </c>
      <c r="B1" s="3" t="s">
        <v>132</v>
      </c>
      <c r="C1" s="3" t="s">
        <v>203</v>
      </c>
      <c r="D1" s="3" t="s">
        <v>44</v>
      </c>
      <c r="E1" s="3" t="s">
        <v>204</v>
      </c>
      <c r="F1" s="3" t="s">
        <v>205</v>
      </c>
      <c r="G1" s="3" t="s">
        <v>206</v>
      </c>
      <c r="H1" s="3" t="s">
        <v>207</v>
      </c>
      <c r="I1" s="3" t="s">
        <v>208</v>
      </c>
      <c r="J1" s="3" t="s">
        <v>209</v>
      </c>
      <c r="K1" s="3" t="s">
        <v>210</v>
      </c>
      <c r="L1" s="3" t="s">
        <v>211</v>
      </c>
      <c r="M1" s="3" t="s">
        <v>212</v>
      </c>
    </row>
    <row r="2" spans="1:13" ht="28" x14ac:dyDescent="0.35">
      <c r="A2" s="10" t="s">
        <v>213</v>
      </c>
      <c r="B2" s="4">
        <v>1</v>
      </c>
      <c r="C2" s="11" t="s">
        <v>214</v>
      </c>
      <c r="D2" s="11" t="s">
        <v>54</v>
      </c>
      <c r="E2" s="11" t="s">
        <v>215</v>
      </c>
      <c r="F2" s="4" t="s">
        <v>216</v>
      </c>
      <c r="G2" s="19" t="s">
        <v>217</v>
      </c>
      <c r="H2" s="20">
        <v>1</v>
      </c>
      <c r="I2" s="11">
        <v>1</v>
      </c>
      <c r="J2" s="11" t="s">
        <v>218</v>
      </c>
      <c r="K2" s="21">
        <f>INDEX('Hidden State'!$C$2:$L$11,MATCH(D2,'Hidden State'!$A$2:$A$11,0),I2)</f>
        <v>0.03</v>
      </c>
      <c r="L2" s="22">
        <f t="shared" ref="L2:L31" si="0">H2*K2*100</f>
        <v>3</v>
      </c>
      <c r="M2" s="6" t="s">
        <v>219</v>
      </c>
    </row>
    <row r="3" spans="1:13" x14ac:dyDescent="0.35">
      <c r="A3" s="10" t="s">
        <v>220</v>
      </c>
      <c r="B3" s="4">
        <v>1</v>
      </c>
      <c r="C3" s="11" t="s">
        <v>221</v>
      </c>
      <c r="D3" s="11" t="s">
        <v>66</v>
      </c>
      <c r="E3" s="11" t="s">
        <v>222</v>
      </c>
      <c r="F3" s="4" t="s">
        <v>223</v>
      </c>
      <c r="G3" s="19" t="s">
        <v>224</v>
      </c>
      <c r="H3" s="20">
        <v>1</v>
      </c>
      <c r="I3" s="11">
        <v>1</v>
      </c>
      <c r="J3" s="11" t="s">
        <v>225</v>
      </c>
      <c r="K3" s="21">
        <f>INDEX('Hidden State'!$C$2:$L$11,MATCH(D3,'Hidden State'!$A$2:$A$11,0),I3)</f>
        <v>-0.02</v>
      </c>
      <c r="L3" s="22">
        <f t="shared" si="0"/>
        <v>-2</v>
      </c>
      <c r="M3" s="6" t="s">
        <v>226</v>
      </c>
    </row>
    <row r="4" spans="1:13" x14ac:dyDescent="0.35">
      <c r="A4" s="10" t="s">
        <v>227</v>
      </c>
      <c r="B4" s="4">
        <v>1</v>
      </c>
      <c r="C4" s="11" t="s">
        <v>228</v>
      </c>
      <c r="D4" s="11" t="s">
        <v>101</v>
      </c>
      <c r="E4" s="11" t="s">
        <v>229</v>
      </c>
      <c r="F4" s="4" t="s">
        <v>230</v>
      </c>
      <c r="G4" s="19" t="s">
        <v>231</v>
      </c>
      <c r="H4" s="20">
        <v>1</v>
      </c>
      <c r="I4" s="11">
        <v>1</v>
      </c>
      <c r="J4" s="11" t="s">
        <v>218</v>
      </c>
      <c r="K4" s="21">
        <f>INDEX('Hidden State'!$C$2:$L$11,MATCH(D4,'Hidden State'!$A$2:$A$11,0),I4)</f>
        <v>0.03</v>
      </c>
      <c r="L4" s="22">
        <f t="shared" si="0"/>
        <v>3</v>
      </c>
      <c r="M4" s="6" t="s">
        <v>232</v>
      </c>
    </row>
    <row r="5" spans="1:13" ht="28" x14ac:dyDescent="0.35">
      <c r="A5" s="10" t="s">
        <v>233</v>
      </c>
      <c r="B5" s="4">
        <v>2</v>
      </c>
      <c r="C5" s="11" t="s">
        <v>234</v>
      </c>
      <c r="D5" s="11" t="s">
        <v>54</v>
      </c>
      <c r="E5" s="11" t="s">
        <v>215</v>
      </c>
      <c r="F5" s="4" t="s">
        <v>216</v>
      </c>
      <c r="G5" s="19" t="s">
        <v>235</v>
      </c>
      <c r="H5" s="20">
        <v>1</v>
      </c>
      <c r="I5" s="11">
        <v>2</v>
      </c>
      <c r="J5" s="11" t="s">
        <v>236</v>
      </c>
      <c r="K5" s="21">
        <f>INDEX('Hidden State'!$C$2:$L$11,MATCH(D5,'Hidden State'!$A$2:$A$11,0),I5)</f>
        <v>-7.0000000000000007E-2</v>
      </c>
      <c r="L5" s="22">
        <f t="shared" si="0"/>
        <v>-7.0000000000000009</v>
      </c>
      <c r="M5" s="6" t="s">
        <v>237</v>
      </c>
    </row>
    <row r="6" spans="1:13" ht="28" x14ac:dyDescent="0.35">
      <c r="A6" s="10" t="s">
        <v>238</v>
      </c>
      <c r="B6" s="4">
        <v>2</v>
      </c>
      <c r="C6" s="11" t="s">
        <v>239</v>
      </c>
      <c r="D6" s="11" t="s">
        <v>71</v>
      </c>
      <c r="E6" s="11" t="s">
        <v>229</v>
      </c>
      <c r="F6" s="4" t="s">
        <v>230</v>
      </c>
      <c r="G6" s="19" t="s">
        <v>240</v>
      </c>
      <c r="H6" s="20">
        <v>1</v>
      </c>
      <c r="I6" s="11">
        <v>2</v>
      </c>
      <c r="J6" s="11" t="s">
        <v>218</v>
      </c>
      <c r="K6" s="21">
        <f>INDEX('Hidden State'!$C$2:$L$11,MATCH(D6,'Hidden State'!$A$2:$A$11,0),I6)</f>
        <v>0.05</v>
      </c>
      <c r="L6" s="22">
        <f t="shared" si="0"/>
        <v>5</v>
      </c>
      <c r="M6" s="6" t="s">
        <v>241</v>
      </c>
    </row>
    <row r="7" spans="1:13" ht="28" x14ac:dyDescent="0.35">
      <c r="A7" s="10" t="s">
        <v>242</v>
      </c>
      <c r="B7" s="4">
        <v>2</v>
      </c>
      <c r="C7" s="11" t="s">
        <v>243</v>
      </c>
      <c r="D7" s="11" t="s">
        <v>54</v>
      </c>
      <c r="E7" s="11" t="s">
        <v>229</v>
      </c>
      <c r="F7" s="4" t="s">
        <v>230</v>
      </c>
      <c r="G7" s="19" t="s">
        <v>244</v>
      </c>
      <c r="H7" s="20">
        <v>-1</v>
      </c>
      <c r="I7" s="11">
        <v>2</v>
      </c>
      <c r="J7" s="11" t="s">
        <v>218</v>
      </c>
      <c r="K7" s="21">
        <f>INDEX('Hidden State'!$C$2:$L$11,MATCH(D7,'Hidden State'!$A$2:$A$11,0),I7)</f>
        <v>-7.0000000000000007E-2</v>
      </c>
      <c r="L7" s="22">
        <f t="shared" si="0"/>
        <v>7.0000000000000009</v>
      </c>
      <c r="M7" s="6" t="s">
        <v>245</v>
      </c>
    </row>
    <row r="8" spans="1:13" ht="28" x14ac:dyDescent="0.35">
      <c r="A8" s="10" t="s">
        <v>246</v>
      </c>
      <c r="B8" s="4">
        <v>3</v>
      </c>
      <c r="C8" s="11" t="s">
        <v>247</v>
      </c>
      <c r="D8" s="11" t="s">
        <v>101</v>
      </c>
      <c r="E8" s="11" t="s">
        <v>215</v>
      </c>
      <c r="F8" s="4" t="s">
        <v>216</v>
      </c>
      <c r="G8" s="19" t="s">
        <v>248</v>
      </c>
      <c r="H8" s="20">
        <v>1</v>
      </c>
      <c r="I8" s="11">
        <v>3</v>
      </c>
      <c r="J8" s="11" t="s">
        <v>218</v>
      </c>
      <c r="K8" s="21">
        <f>INDEX('Hidden State'!$C$2:$L$11,MATCH(D8,'Hidden State'!$A$2:$A$11,0),I8)</f>
        <v>0.08</v>
      </c>
      <c r="L8" s="22">
        <f t="shared" si="0"/>
        <v>8</v>
      </c>
      <c r="M8" s="6" t="s">
        <v>249</v>
      </c>
    </row>
    <row r="9" spans="1:13" ht="28" x14ac:dyDescent="0.35">
      <c r="A9" s="10" t="s">
        <v>250</v>
      </c>
      <c r="B9" s="4">
        <v>3</v>
      </c>
      <c r="C9" s="11" t="s">
        <v>251</v>
      </c>
      <c r="D9" s="11" t="s">
        <v>91</v>
      </c>
      <c r="E9" s="11" t="s">
        <v>222</v>
      </c>
      <c r="F9" s="4" t="s">
        <v>223</v>
      </c>
      <c r="G9" s="19" t="s">
        <v>252</v>
      </c>
      <c r="H9" s="20">
        <v>1</v>
      </c>
      <c r="I9" s="11">
        <v>3</v>
      </c>
      <c r="J9" s="11" t="s">
        <v>225</v>
      </c>
      <c r="K9" s="21">
        <f>INDEX('Hidden State'!$C$2:$L$11,MATCH(D9,'Hidden State'!$A$2:$A$11,0),I9)</f>
        <v>-0.03</v>
      </c>
      <c r="L9" s="22">
        <f t="shared" si="0"/>
        <v>-3</v>
      </c>
      <c r="M9" s="6" t="s">
        <v>253</v>
      </c>
    </row>
    <row r="10" spans="1:13" ht="28" x14ac:dyDescent="0.35">
      <c r="A10" s="10" t="s">
        <v>254</v>
      </c>
      <c r="B10" s="4">
        <v>3</v>
      </c>
      <c r="C10" s="11" t="s">
        <v>255</v>
      </c>
      <c r="D10" s="11" t="s">
        <v>81</v>
      </c>
      <c r="E10" s="11" t="s">
        <v>215</v>
      </c>
      <c r="F10" s="4" t="s">
        <v>216</v>
      </c>
      <c r="G10" s="19" t="s">
        <v>256</v>
      </c>
      <c r="H10" s="20">
        <v>1</v>
      </c>
      <c r="I10" s="11">
        <v>3</v>
      </c>
      <c r="J10" s="11" t="s">
        <v>218</v>
      </c>
      <c r="K10" s="21">
        <f>INDEX('Hidden State'!$C$2:$L$11,MATCH(D10,'Hidden State'!$A$2:$A$11,0),I10)</f>
        <v>0.03</v>
      </c>
      <c r="L10" s="22">
        <f t="shared" si="0"/>
        <v>3</v>
      </c>
      <c r="M10" s="6" t="s">
        <v>257</v>
      </c>
    </row>
    <row r="11" spans="1:13" ht="28" x14ac:dyDescent="0.35">
      <c r="A11" s="10" t="s">
        <v>258</v>
      </c>
      <c r="B11" s="4">
        <v>4</v>
      </c>
      <c r="C11" s="11" t="s">
        <v>259</v>
      </c>
      <c r="D11" s="11" t="s">
        <v>86</v>
      </c>
      <c r="E11" s="11" t="s">
        <v>215</v>
      </c>
      <c r="F11" s="4" t="s">
        <v>216</v>
      </c>
      <c r="G11" s="19" t="s">
        <v>260</v>
      </c>
      <c r="H11" s="20">
        <v>1</v>
      </c>
      <c r="I11" s="11">
        <v>4</v>
      </c>
      <c r="J11" s="11" t="s">
        <v>218</v>
      </c>
      <c r="K11" s="21">
        <f>INDEX('Hidden State'!$C$2:$L$11,MATCH(D11,'Hidden State'!$A$2:$A$11,0),I11)</f>
        <v>0.09</v>
      </c>
      <c r="L11" s="22">
        <f t="shared" si="0"/>
        <v>9</v>
      </c>
      <c r="M11" s="6" t="s">
        <v>261</v>
      </c>
    </row>
    <row r="12" spans="1:13" ht="28" x14ac:dyDescent="0.35">
      <c r="A12" s="10" t="s">
        <v>262</v>
      </c>
      <c r="B12" s="4">
        <v>4</v>
      </c>
      <c r="C12" s="11" t="s">
        <v>263</v>
      </c>
      <c r="D12" s="11" t="s">
        <v>76</v>
      </c>
      <c r="E12" s="11" t="s">
        <v>222</v>
      </c>
      <c r="F12" s="4" t="s">
        <v>223</v>
      </c>
      <c r="G12" s="19" t="s">
        <v>264</v>
      </c>
      <c r="H12" s="20">
        <v>1</v>
      </c>
      <c r="I12" s="11">
        <v>4</v>
      </c>
      <c r="J12" s="11" t="s">
        <v>225</v>
      </c>
      <c r="K12" s="21">
        <f>INDEX('Hidden State'!$C$2:$L$11,MATCH(D12,'Hidden State'!$A$2:$A$11,0),I12)</f>
        <v>-0.09</v>
      </c>
      <c r="L12" s="22">
        <f t="shared" si="0"/>
        <v>-9</v>
      </c>
      <c r="M12" s="6" t="s">
        <v>265</v>
      </c>
    </row>
    <row r="13" spans="1:13" ht="28" x14ac:dyDescent="0.35">
      <c r="A13" s="10" t="s">
        <v>266</v>
      </c>
      <c r="B13" s="4">
        <v>4</v>
      </c>
      <c r="C13" s="11" t="s">
        <v>267</v>
      </c>
      <c r="D13" s="11" t="s">
        <v>81</v>
      </c>
      <c r="E13" s="11" t="s">
        <v>229</v>
      </c>
      <c r="F13" s="4" t="s">
        <v>230</v>
      </c>
      <c r="G13" s="19" t="s">
        <v>268</v>
      </c>
      <c r="H13" s="20">
        <v>-1</v>
      </c>
      <c r="I13" s="11">
        <v>4</v>
      </c>
      <c r="J13" s="11" t="s">
        <v>218</v>
      </c>
      <c r="K13" s="21">
        <f>INDEX('Hidden State'!$C$2:$L$11,MATCH(D13,'Hidden State'!$A$2:$A$11,0),I13)</f>
        <v>-0.05</v>
      </c>
      <c r="L13" s="22">
        <f t="shared" si="0"/>
        <v>5</v>
      </c>
      <c r="M13" s="6" t="s">
        <v>269</v>
      </c>
    </row>
    <row r="14" spans="1:13" ht="28" x14ac:dyDescent="0.35">
      <c r="A14" s="10" t="s">
        <v>270</v>
      </c>
      <c r="B14" s="4">
        <v>5</v>
      </c>
      <c r="C14" s="11" t="s">
        <v>221</v>
      </c>
      <c r="D14" s="11" t="s">
        <v>60</v>
      </c>
      <c r="E14" s="11" t="s">
        <v>215</v>
      </c>
      <c r="F14" s="4" t="s">
        <v>216</v>
      </c>
      <c r="G14" s="19" t="s">
        <v>271</v>
      </c>
      <c r="H14" s="20">
        <v>1</v>
      </c>
      <c r="I14" s="11">
        <v>5</v>
      </c>
      <c r="J14" s="11" t="s">
        <v>218</v>
      </c>
      <c r="K14" s="21">
        <f>INDEX('Hidden State'!$C$2:$L$11,MATCH(D14,'Hidden State'!$A$2:$A$11,0),I14)</f>
        <v>0.1</v>
      </c>
      <c r="L14" s="22">
        <f t="shared" si="0"/>
        <v>10</v>
      </c>
      <c r="M14" s="6" t="s">
        <v>241</v>
      </c>
    </row>
    <row r="15" spans="1:13" ht="28" x14ac:dyDescent="0.35">
      <c r="A15" s="10" t="s">
        <v>272</v>
      </c>
      <c r="B15" s="4">
        <v>5</v>
      </c>
      <c r="C15" s="11" t="s">
        <v>228</v>
      </c>
      <c r="D15" s="11" t="s">
        <v>91</v>
      </c>
      <c r="E15" s="11" t="s">
        <v>229</v>
      </c>
      <c r="F15" s="4" t="s">
        <v>230</v>
      </c>
      <c r="G15" s="19" t="s">
        <v>273</v>
      </c>
      <c r="H15" s="20">
        <v>1</v>
      </c>
      <c r="I15" s="11">
        <v>5</v>
      </c>
      <c r="J15" s="11" t="s">
        <v>274</v>
      </c>
      <c r="K15" s="21">
        <f>INDEX('Hidden State'!$C$2:$L$11,MATCH(D15,'Hidden State'!$A$2:$A$11,0),I15)</f>
        <v>-0.04</v>
      </c>
      <c r="L15" s="22">
        <f t="shared" si="0"/>
        <v>-4</v>
      </c>
      <c r="M15" s="6" t="s">
        <v>275</v>
      </c>
    </row>
    <row r="16" spans="1:13" ht="28" x14ac:dyDescent="0.35">
      <c r="A16" s="10" t="s">
        <v>276</v>
      </c>
      <c r="B16" s="4">
        <v>5</v>
      </c>
      <c r="C16" s="11" t="s">
        <v>214</v>
      </c>
      <c r="D16" s="11" t="s">
        <v>101</v>
      </c>
      <c r="E16" s="11" t="s">
        <v>222</v>
      </c>
      <c r="F16" s="4" t="s">
        <v>223</v>
      </c>
      <c r="G16" s="19" t="s">
        <v>277</v>
      </c>
      <c r="H16" s="20">
        <v>1</v>
      </c>
      <c r="I16" s="11">
        <v>5</v>
      </c>
      <c r="J16" s="11" t="s">
        <v>225</v>
      </c>
      <c r="K16" s="21">
        <f>INDEX('Hidden State'!$C$2:$L$11,MATCH(D16,'Hidden State'!$A$2:$A$11,0),I16)</f>
        <v>-0.12</v>
      </c>
      <c r="L16" s="22">
        <f t="shared" si="0"/>
        <v>-12</v>
      </c>
      <c r="M16" s="6" t="s">
        <v>278</v>
      </c>
    </row>
    <row r="17" spans="1:13" ht="28" x14ac:dyDescent="0.35">
      <c r="A17" s="10" t="s">
        <v>279</v>
      </c>
      <c r="B17" s="4">
        <v>6</v>
      </c>
      <c r="C17" s="11" t="s">
        <v>280</v>
      </c>
      <c r="D17" s="11" t="s">
        <v>71</v>
      </c>
      <c r="E17" s="11" t="s">
        <v>215</v>
      </c>
      <c r="F17" s="4" t="s">
        <v>216</v>
      </c>
      <c r="G17" s="19" t="s">
        <v>281</v>
      </c>
      <c r="H17" s="20">
        <v>1</v>
      </c>
      <c r="I17" s="11">
        <v>6</v>
      </c>
      <c r="J17" s="11" t="s">
        <v>236</v>
      </c>
      <c r="K17" s="21">
        <f>INDEX('Hidden State'!$C$2:$L$11,MATCH(D17,'Hidden State'!$A$2:$A$11,0),I17)</f>
        <v>0.06</v>
      </c>
      <c r="L17" s="22">
        <f t="shared" si="0"/>
        <v>6</v>
      </c>
      <c r="M17" s="6" t="s">
        <v>282</v>
      </c>
    </row>
    <row r="18" spans="1:13" ht="28" x14ac:dyDescent="0.35">
      <c r="A18" s="10" t="s">
        <v>283</v>
      </c>
      <c r="B18" s="4">
        <v>6</v>
      </c>
      <c r="C18" s="11" t="s">
        <v>284</v>
      </c>
      <c r="D18" s="11" t="s">
        <v>91</v>
      </c>
      <c r="E18" s="11" t="s">
        <v>222</v>
      </c>
      <c r="F18" s="4" t="s">
        <v>223</v>
      </c>
      <c r="G18" s="19" t="s">
        <v>285</v>
      </c>
      <c r="H18" s="20">
        <v>1</v>
      </c>
      <c r="I18" s="11">
        <v>6</v>
      </c>
      <c r="J18" s="11" t="s">
        <v>225</v>
      </c>
      <c r="K18" s="21">
        <f>INDEX('Hidden State'!$C$2:$L$11,MATCH(D18,'Hidden State'!$A$2:$A$11,0),I18)</f>
        <v>-0.02</v>
      </c>
      <c r="L18" s="22">
        <f t="shared" si="0"/>
        <v>-2</v>
      </c>
      <c r="M18" s="6" t="s">
        <v>286</v>
      </c>
    </row>
    <row r="19" spans="1:13" ht="28" x14ac:dyDescent="0.35">
      <c r="A19" s="10" t="s">
        <v>287</v>
      </c>
      <c r="B19" s="4">
        <v>6</v>
      </c>
      <c r="C19" s="11" t="s">
        <v>288</v>
      </c>
      <c r="D19" s="11" t="s">
        <v>86</v>
      </c>
      <c r="E19" s="11" t="s">
        <v>229</v>
      </c>
      <c r="F19" s="4" t="s">
        <v>230</v>
      </c>
      <c r="G19" s="19" t="s">
        <v>289</v>
      </c>
      <c r="H19" s="20">
        <v>-1</v>
      </c>
      <c r="I19" s="11">
        <v>6</v>
      </c>
      <c r="J19" s="11" t="s">
        <v>218</v>
      </c>
      <c r="K19" s="21">
        <f>INDEX('Hidden State'!$C$2:$L$11,MATCH(D19,'Hidden State'!$A$2:$A$11,0),I19)</f>
        <v>-0.06</v>
      </c>
      <c r="L19" s="22">
        <f t="shared" si="0"/>
        <v>6</v>
      </c>
      <c r="M19" s="6" t="s">
        <v>290</v>
      </c>
    </row>
    <row r="20" spans="1:13" ht="28" x14ac:dyDescent="0.35">
      <c r="A20" s="10" t="s">
        <v>291</v>
      </c>
      <c r="B20" s="4">
        <v>7</v>
      </c>
      <c r="C20" s="11" t="s">
        <v>280</v>
      </c>
      <c r="D20" s="11" t="s">
        <v>60</v>
      </c>
      <c r="E20" s="11" t="s">
        <v>229</v>
      </c>
      <c r="F20" s="4" t="s">
        <v>230</v>
      </c>
      <c r="G20" s="19" t="s">
        <v>292</v>
      </c>
      <c r="H20" s="20">
        <v>-1</v>
      </c>
      <c r="I20" s="11">
        <v>7</v>
      </c>
      <c r="J20" s="11" t="s">
        <v>218</v>
      </c>
      <c r="K20" s="21">
        <f>INDEX('Hidden State'!$C$2:$L$11,MATCH(D20,'Hidden State'!$A$2:$A$11,0),I20)</f>
        <v>-0.09</v>
      </c>
      <c r="L20" s="22">
        <f t="shared" si="0"/>
        <v>9</v>
      </c>
      <c r="M20" s="6" t="s">
        <v>241</v>
      </c>
    </row>
    <row r="21" spans="1:13" ht="28" x14ac:dyDescent="0.35">
      <c r="A21" s="10" t="s">
        <v>293</v>
      </c>
      <c r="B21" s="4">
        <v>7</v>
      </c>
      <c r="C21" s="11" t="s">
        <v>255</v>
      </c>
      <c r="D21" s="11" t="s">
        <v>60</v>
      </c>
      <c r="E21" s="11" t="s">
        <v>222</v>
      </c>
      <c r="F21" s="4" t="s">
        <v>223</v>
      </c>
      <c r="G21" s="19" t="s">
        <v>294</v>
      </c>
      <c r="H21" s="20">
        <v>1</v>
      </c>
      <c r="I21" s="11">
        <v>7</v>
      </c>
      <c r="J21" s="11" t="s">
        <v>225</v>
      </c>
      <c r="K21" s="21">
        <f>INDEX('Hidden State'!$C$2:$L$11,MATCH(D21,'Hidden State'!$A$2:$A$11,0),I21)</f>
        <v>-0.09</v>
      </c>
      <c r="L21" s="22">
        <f t="shared" si="0"/>
        <v>-9</v>
      </c>
      <c r="M21" s="6" t="s">
        <v>295</v>
      </c>
    </row>
    <row r="22" spans="1:13" ht="28" x14ac:dyDescent="0.35">
      <c r="A22" s="10" t="s">
        <v>296</v>
      </c>
      <c r="B22" s="4">
        <v>7</v>
      </c>
      <c r="C22" s="11" t="s">
        <v>243</v>
      </c>
      <c r="D22" s="11" t="s">
        <v>66</v>
      </c>
      <c r="E22" s="11" t="s">
        <v>215</v>
      </c>
      <c r="F22" s="4" t="s">
        <v>216</v>
      </c>
      <c r="G22" s="19" t="s">
        <v>297</v>
      </c>
      <c r="H22" s="20">
        <v>1</v>
      </c>
      <c r="I22" s="11">
        <v>7</v>
      </c>
      <c r="J22" s="11" t="s">
        <v>218</v>
      </c>
      <c r="K22" s="21">
        <f>INDEX('Hidden State'!$C$2:$L$11,MATCH(D22,'Hidden State'!$A$2:$A$11,0),I22)</f>
        <v>0.02</v>
      </c>
      <c r="L22" s="22">
        <f t="shared" si="0"/>
        <v>2</v>
      </c>
      <c r="M22" s="6" t="s">
        <v>298</v>
      </c>
    </row>
    <row r="23" spans="1:13" ht="28" x14ac:dyDescent="0.35">
      <c r="A23" s="10" t="s">
        <v>299</v>
      </c>
      <c r="B23" s="4">
        <v>8</v>
      </c>
      <c r="C23" s="11" t="s">
        <v>267</v>
      </c>
      <c r="D23" s="11" t="s">
        <v>101</v>
      </c>
      <c r="E23" s="11" t="s">
        <v>215</v>
      </c>
      <c r="F23" s="4" t="s">
        <v>216</v>
      </c>
      <c r="G23" s="19" t="s">
        <v>300</v>
      </c>
      <c r="H23" s="20">
        <v>1</v>
      </c>
      <c r="I23" s="11">
        <v>8</v>
      </c>
      <c r="J23" s="11" t="s">
        <v>225</v>
      </c>
      <c r="K23" s="21">
        <f>INDEX('Hidden State'!$C$2:$L$11,MATCH(D23,'Hidden State'!$A$2:$A$11,0),I23)</f>
        <v>-0.2</v>
      </c>
      <c r="L23" s="22">
        <f t="shared" si="0"/>
        <v>-20</v>
      </c>
      <c r="M23" s="6" t="s">
        <v>301</v>
      </c>
    </row>
    <row r="24" spans="1:13" x14ac:dyDescent="0.35">
      <c r="A24" s="10" t="s">
        <v>302</v>
      </c>
      <c r="B24" s="4">
        <v>8</v>
      </c>
      <c r="C24" s="11" t="s">
        <v>234</v>
      </c>
      <c r="D24" s="11" t="s">
        <v>54</v>
      </c>
      <c r="E24" s="11" t="s">
        <v>215</v>
      </c>
      <c r="F24" s="4" t="s">
        <v>216</v>
      </c>
      <c r="G24" s="19" t="s">
        <v>303</v>
      </c>
      <c r="H24" s="20">
        <v>1</v>
      </c>
      <c r="I24" s="11">
        <v>8</v>
      </c>
      <c r="J24" s="11" t="s">
        <v>218</v>
      </c>
      <c r="K24" s="21">
        <f>INDEX('Hidden State'!$C$2:$L$11,MATCH(D24,'Hidden State'!$A$2:$A$11,0),I24)</f>
        <v>0.05</v>
      </c>
      <c r="L24" s="22">
        <f t="shared" si="0"/>
        <v>5</v>
      </c>
      <c r="M24" s="6" t="s">
        <v>241</v>
      </c>
    </row>
    <row r="25" spans="1:13" ht="28" x14ac:dyDescent="0.35">
      <c r="A25" s="10" t="s">
        <v>304</v>
      </c>
      <c r="B25" s="4">
        <v>8</v>
      </c>
      <c r="C25" s="11" t="s">
        <v>288</v>
      </c>
      <c r="D25" s="11" t="s">
        <v>71</v>
      </c>
      <c r="E25" s="11" t="s">
        <v>229</v>
      </c>
      <c r="F25" s="4" t="s">
        <v>230</v>
      </c>
      <c r="G25" s="19" t="s">
        <v>305</v>
      </c>
      <c r="H25" s="20">
        <v>1</v>
      </c>
      <c r="I25" s="11">
        <v>8</v>
      </c>
      <c r="J25" s="11" t="s">
        <v>274</v>
      </c>
      <c r="K25" s="21">
        <f>INDEX('Hidden State'!$C$2:$L$11,MATCH(D25,'Hidden State'!$A$2:$A$11,0),I25)</f>
        <v>-0.12</v>
      </c>
      <c r="L25" s="22">
        <f t="shared" si="0"/>
        <v>-12</v>
      </c>
      <c r="M25" s="6" t="s">
        <v>306</v>
      </c>
    </row>
    <row r="26" spans="1:13" ht="28" x14ac:dyDescent="0.35">
      <c r="A26" s="10" t="s">
        <v>307</v>
      </c>
      <c r="B26" s="4">
        <v>9</v>
      </c>
      <c r="C26" s="11" t="s">
        <v>239</v>
      </c>
      <c r="D26" s="11" t="s">
        <v>91</v>
      </c>
      <c r="E26" s="11" t="s">
        <v>229</v>
      </c>
      <c r="F26" s="4" t="s">
        <v>230</v>
      </c>
      <c r="G26" s="19" t="s">
        <v>308</v>
      </c>
      <c r="H26" s="20">
        <v>1</v>
      </c>
      <c r="I26" s="11">
        <v>9</v>
      </c>
      <c r="J26" s="11" t="s">
        <v>218</v>
      </c>
      <c r="K26" s="21">
        <f>INDEX('Hidden State'!$C$2:$L$11,MATCH(D26,'Hidden State'!$A$2:$A$11,0),I26)</f>
        <v>0.08</v>
      </c>
      <c r="L26" s="22">
        <f t="shared" si="0"/>
        <v>8</v>
      </c>
      <c r="M26" s="6" t="s">
        <v>241</v>
      </c>
    </row>
    <row r="27" spans="1:13" ht="28" x14ac:dyDescent="0.35">
      <c r="A27" s="10" t="s">
        <v>309</v>
      </c>
      <c r="B27" s="4">
        <v>9</v>
      </c>
      <c r="C27" s="11" t="s">
        <v>259</v>
      </c>
      <c r="D27" s="11" t="s">
        <v>96</v>
      </c>
      <c r="E27" s="11" t="s">
        <v>215</v>
      </c>
      <c r="F27" s="4" t="s">
        <v>216</v>
      </c>
      <c r="G27" s="19" t="s">
        <v>310</v>
      </c>
      <c r="H27" s="20">
        <v>1</v>
      </c>
      <c r="I27" s="11">
        <v>10</v>
      </c>
      <c r="J27" s="11" t="s">
        <v>218</v>
      </c>
      <c r="K27" s="21">
        <f>INDEX('Hidden State'!$C$2:$L$11,MATCH(D27,'Hidden State'!$A$2:$A$11,0),I27)</f>
        <v>7.0000000000000007E-2</v>
      </c>
      <c r="L27" s="22">
        <f t="shared" si="0"/>
        <v>7.0000000000000009</v>
      </c>
      <c r="M27" s="6" t="s">
        <v>311</v>
      </c>
    </row>
    <row r="28" spans="1:13" x14ac:dyDescent="0.35">
      <c r="A28" s="10" t="s">
        <v>312</v>
      </c>
      <c r="B28" s="4">
        <v>9</v>
      </c>
      <c r="C28" s="11" t="s">
        <v>247</v>
      </c>
      <c r="D28" s="11" t="s">
        <v>60</v>
      </c>
      <c r="E28" s="11" t="s">
        <v>222</v>
      </c>
      <c r="F28" s="4" t="s">
        <v>223</v>
      </c>
      <c r="G28" s="19" t="s">
        <v>313</v>
      </c>
      <c r="H28" s="20">
        <v>1</v>
      </c>
      <c r="I28" s="11">
        <v>9</v>
      </c>
      <c r="J28" s="11" t="s">
        <v>225</v>
      </c>
      <c r="K28" s="21">
        <f>INDEX('Hidden State'!$C$2:$L$11,MATCH(D28,'Hidden State'!$A$2:$A$11,0),I28)</f>
        <v>-0.04</v>
      </c>
      <c r="L28" s="22">
        <f t="shared" si="0"/>
        <v>-4</v>
      </c>
      <c r="M28" s="6" t="s">
        <v>314</v>
      </c>
    </row>
    <row r="29" spans="1:13" x14ac:dyDescent="0.35">
      <c r="A29" s="10" t="s">
        <v>315</v>
      </c>
      <c r="B29" s="4">
        <v>10</v>
      </c>
      <c r="C29" s="11" t="s">
        <v>263</v>
      </c>
      <c r="D29" s="11" t="s">
        <v>76</v>
      </c>
      <c r="E29" s="11" t="s">
        <v>215</v>
      </c>
      <c r="F29" s="4" t="s">
        <v>216</v>
      </c>
      <c r="G29" s="19" t="s">
        <v>316</v>
      </c>
      <c r="H29" s="20">
        <v>1</v>
      </c>
      <c r="I29" s="11">
        <v>10</v>
      </c>
      <c r="J29" s="11" t="s">
        <v>218</v>
      </c>
      <c r="K29" s="21">
        <f>INDEX('Hidden State'!$C$2:$L$11,MATCH(D29,'Hidden State'!$A$2:$A$11,0),I29)</f>
        <v>0.06</v>
      </c>
      <c r="L29" s="22">
        <f t="shared" si="0"/>
        <v>6</v>
      </c>
      <c r="M29" s="6" t="s">
        <v>241</v>
      </c>
    </row>
    <row r="30" spans="1:13" x14ac:dyDescent="0.35">
      <c r="A30" s="10" t="s">
        <v>317</v>
      </c>
      <c r="B30" s="4">
        <v>10</v>
      </c>
      <c r="C30" s="11" t="s">
        <v>251</v>
      </c>
      <c r="D30" s="11" t="s">
        <v>86</v>
      </c>
      <c r="E30" s="11" t="s">
        <v>222</v>
      </c>
      <c r="F30" s="4" t="s">
        <v>223</v>
      </c>
      <c r="G30" s="19" t="s">
        <v>318</v>
      </c>
      <c r="H30" s="20">
        <v>1</v>
      </c>
      <c r="I30" s="11">
        <v>10</v>
      </c>
      <c r="J30" s="11" t="s">
        <v>225</v>
      </c>
      <c r="K30" s="21">
        <f>INDEX('Hidden State'!$C$2:$L$11,MATCH(D30,'Hidden State'!$A$2:$A$11,0),I30)</f>
        <v>-0.03</v>
      </c>
      <c r="L30" s="22">
        <f t="shared" si="0"/>
        <v>-3</v>
      </c>
      <c r="M30" s="6" t="s">
        <v>319</v>
      </c>
    </row>
    <row r="31" spans="1:13" x14ac:dyDescent="0.35">
      <c r="A31" s="10" t="s">
        <v>320</v>
      </c>
      <c r="B31" s="4">
        <v>10</v>
      </c>
      <c r="C31" s="11" t="s">
        <v>284</v>
      </c>
      <c r="D31" s="11" t="s">
        <v>71</v>
      </c>
      <c r="E31" s="11" t="s">
        <v>229</v>
      </c>
      <c r="F31" s="4" t="s">
        <v>230</v>
      </c>
      <c r="G31" s="19" t="s">
        <v>321</v>
      </c>
      <c r="H31" s="20">
        <v>1</v>
      </c>
      <c r="I31" s="11">
        <v>10</v>
      </c>
      <c r="J31" s="11" t="s">
        <v>218</v>
      </c>
      <c r="K31" s="21">
        <f>INDEX('Hidden State'!$C$2:$L$11,MATCH(D31,'Hidden State'!$A$2:$A$11,0),I31)</f>
        <v>0.03</v>
      </c>
      <c r="L31" s="22">
        <f t="shared" si="0"/>
        <v>3</v>
      </c>
      <c r="M31" s="6" t="s">
        <v>322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7" width="14" customWidth="1"/>
  </cols>
  <sheetData>
    <row r="1" spans="1:7" x14ac:dyDescent="0.35">
      <c r="A1" s="3" t="s">
        <v>132</v>
      </c>
      <c r="B1" s="3" t="s">
        <v>323</v>
      </c>
      <c r="C1" s="3" t="s">
        <v>324</v>
      </c>
      <c r="D1" s="3" t="s">
        <v>325</v>
      </c>
      <c r="E1" s="3" t="s">
        <v>326</v>
      </c>
      <c r="F1" s="3" t="s">
        <v>327</v>
      </c>
      <c r="G1" s="3" t="s">
        <v>328</v>
      </c>
    </row>
    <row r="2" spans="1:7" x14ac:dyDescent="0.35">
      <c r="A2" s="4">
        <v>1</v>
      </c>
      <c r="B2" s="4" t="s">
        <v>329</v>
      </c>
      <c r="C2" s="4" t="s">
        <v>330</v>
      </c>
      <c r="D2" s="4" t="s">
        <v>331</v>
      </c>
      <c r="E2" s="4" t="s">
        <v>329</v>
      </c>
      <c r="F2" s="4" t="s">
        <v>330</v>
      </c>
      <c r="G2" s="4" t="s">
        <v>331</v>
      </c>
    </row>
    <row r="3" spans="1:7" x14ac:dyDescent="0.35">
      <c r="A3" s="4">
        <v>2</v>
      </c>
      <c r="B3" s="4" t="s">
        <v>332</v>
      </c>
      <c r="C3" s="4" t="s">
        <v>333</v>
      </c>
      <c r="D3" s="4" t="s">
        <v>333</v>
      </c>
      <c r="E3" s="4" t="s">
        <v>334</v>
      </c>
      <c r="F3" s="4" t="s">
        <v>332</v>
      </c>
      <c r="G3" s="4" t="s">
        <v>334</v>
      </c>
    </row>
    <row r="4" spans="1:7" x14ac:dyDescent="0.35">
      <c r="A4" s="4">
        <v>3</v>
      </c>
      <c r="B4" s="4" t="s">
        <v>335</v>
      </c>
      <c r="C4" s="4" t="s">
        <v>336</v>
      </c>
      <c r="D4" s="4" t="s">
        <v>335</v>
      </c>
      <c r="E4" s="4" t="s">
        <v>337</v>
      </c>
      <c r="F4" s="4" t="s">
        <v>337</v>
      </c>
      <c r="G4" s="4" t="s">
        <v>336</v>
      </c>
    </row>
    <row r="5" spans="1:7" x14ac:dyDescent="0.35">
      <c r="A5" s="4">
        <v>4</v>
      </c>
      <c r="B5" s="4" t="s">
        <v>338</v>
      </c>
      <c r="C5" s="4" t="s">
        <v>339</v>
      </c>
      <c r="D5" s="4" t="s">
        <v>340</v>
      </c>
      <c r="E5" s="4" t="s">
        <v>339</v>
      </c>
      <c r="F5" s="4" t="s">
        <v>340</v>
      </c>
      <c r="G5" s="4" t="s">
        <v>338</v>
      </c>
    </row>
    <row r="6" spans="1:7" x14ac:dyDescent="0.35">
      <c r="A6" s="4">
        <v>5</v>
      </c>
      <c r="B6" s="4" t="s">
        <v>341</v>
      </c>
      <c r="C6" s="4" t="s">
        <v>342</v>
      </c>
      <c r="D6" s="4" t="s">
        <v>343</v>
      </c>
      <c r="E6" s="4" t="s">
        <v>341</v>
      </c>
      <c r="F6" s="4" t="s">
        <v>342</v>
      </c>
      <c r="G6" s="4" t="s">
        <v>343</v>
      </c>
    </row>
    <row r="7" spans="1:7" x14ac:dyDescent="0.35">
      <c r="A7" s="4">
        <v>6</v>
      </c>
      <c r="B7" s="4" t="s">
        <v>344</v>
      </c>
      <c r="C7" s="4" t="s">
        <v>344</v>
      </c>
      <c r="D7" s="4" t="s">
        <v>345</v>
      </c>
      <c r="E7" s="4" t="s">
        <v>345</v>
      </c>
      <c r="F7" s="4" t="s">
        <v>346</v>
      </c>
      <c r="G7" s="4" t="s">
        <v>346</v>
      </c>
    </row>
    <row r="8" spans="1:7" x14ac:dyDescent="0.35">
      <c r="A8" s="4">
        <v>7</v>
      </c>
      <c r="B8" s="4" t="s">
        <v>347</v>
      </c>
      <c r="C8" s="4" t="s">
        <v>348</v>
      </c>
      <c r="D8" s="4" t="s">
        <v>349</v>
      </c>
      <c r="E8" s="4" t="s">
        <v>349</v>
      </c>
      <c r="F8" s="4" t="s">
        <v>347</v>
      </c>
      <c r="G8" s="4" t="s">
        <v>348</v>
      </c>
    </row>
    <row r="9" spans="1:7" x14ac:dyDescent="0.35">
      <c r="A9" s="4">
        <v>8</v>
      </c>
      <c r="B9" s="4" t="s">
        <v>350</v>
      </c>
      <c r="C9" s="4" t="s">
        <v>350</v>
      </c>
      <c r="D9" s="4" t="s">
        <v>351</v>
      </c>
      <c r="E9" s="4" t="s">
        <v>352</v>
      </c>
      <c r="F9" s="4" t="s">
        <v>351</v>
      </c>
      <c r="G9" s="4" t="s">
        <v>352</v>
      </c>
    </row>
    <row r="10" spans="1:7" x14ac:dyDescent="0.35">
      <c r="A10" s="4">
        <v>9</v>
      </c>
      <c r="B10" s="4" t="s">
        <v>353</v>
      </c>
      <c r="C10" s="4" t="s">
        <v>354</v>
      </c>
      <c r="D10" s="4" t="s">
        <v>354</v>
      </c>
      <c r="E10" s="4" t="s">
        <v>355</v>
      </c>
      <c r="F10" s="4" t="s">
        <v>355</v>
      </c>
      <c r="G10" s="4" t="s">
        <v>353</v>
      </c>
    </row>
    <row r="11" spans="1:7" x14ac:dyDescent="0.35">
      <c r="A11" s="4">
        <v>10</v>
      </c>
      <c r="B11" s="4" t="s">
        <v>356</v>
      </c>
      <c r="C11" s="4" t="s">
        <v>357</v>
      </c>
      <c r="D11" s="4" t="s">
        <v>356</v>
      </c>
      <c r="E11" s="4" t="s">
        <v>357</v>
      </c>
      <c r="F11" s="4" t="s">
        <v>358</v>
      </c>
      <c r="G11" s="4" t="s">
        <v>358</v>
      </c>
    </row>
    <row r="13" spans="1:7" x14ac:dyDescent="0.35">
      <c r="A13" s="4" t="s">
        <v>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9" customWidth="1"/>
    <col min="3" max="3" width="10" customWidth="1"/>
    <col min="4" max="4" width="11" customWidth="1"/>
    <col min="5" max="5" width="10" customWidth="1"/>
    <col min="6" max="6" width="11" customWidth="1"/>
    <col min="7" max="7" width="15" customWidth="1"/>
  </cols>
  <sheetData>
    <row r="1" spans="1:7" ht="28" x14ac:dyDescent="0.35">
      <c r="A1" s="3" t="s">
        <v>360</v>
      </c>
      <c r="B1" s="3" t="s">
        <v>361</v>
      </c>
      <c r="C1" s="3" t="s">
        <v>362</v>
      </c>
      <c r="D1" s="3" t="s">
        <v>363</v>
      </c>
      <c r="E1" s="3" t="s">
        <v>364</v>
      </c>
      <c r="F1" s="3" t="s">
        <v>365</v>
      </c>
      <c r="G1" s="3" t="s">
        <v>366</v>
      </c>
    </row>
    <row r="2" spans="1:7" x14ac:dyDescent="0.35">
      <c r="A2" s="10" t="s">
        <v>323</v>
      </c>
      <c r="B2" s="23">
        <f>COUNTIF('Private Signals'!$C$2:$C$31,"*A*")</f>
        <v>10</v>
      </c>
      <c r="C2" s="23">
        <f>COUNTIFS('Private Signals'!$C$2:$C$31,"*A*",'Private Signals'!$J$2:$J$31,"ACCURATE")</f>
        <v>6</v>
      </c>
      <c r="D2" s="23">
        <f>COUNTIFS('Private Signals'!$C$2:$C$31,"*A*",'Private Signals'!$J$2:$J$31,"INCOMPLETE")</f>
        <v>0</v>
      </c>
      <c r="E2" s="23">
        <f>COUNTIFS('Private Signals'!$C$2:$C$31,"*A*",'Private Signals'!$J$2:$J$31,"OUTDATED")</f>
        <v>1</v>
      </c>
      <c r="F2" s="23">
        <f>COUNTIFS('Private Signals'!$C$2:$C$31,"*A*",'Private Signals'!$J$2:$J$31,"MISLEADING")</f>
        <v>3</v>
      </c>
      <c r="G2" s="24">
        <f>SUMIF('Private Signals'!$C$2:$C$31,"*A*",'Private Signals'!$L$2:$L$31)</f>
        <v>4.0000000000000009</v>
      </c>
    </row>
    <row r="3" spans="1:7" x14ac:dyDescent="0.35">
      <c r="A3" s="10" t="s">
        <v>324</v>
      </c>
      <c r="B3" s="23">
        <f>COUNTIF('Private Signals'!$C$2:$C$31,"*B*")</f>
        <v>10</v>
      </c>
      <c r="C3" s="23">
        <f>COUNTIFS('Private Signals'!$C$2:$C$31,"*B*",'Private Signals'!$J$2:$J$31,"ACCURATE")</f>
        <v>6</v>
      </c>
      <c r="D3" s="23">
        <f>COUNTIFS('Private Signals'!$C$2:$C$31,"*B*",'Private Signals'!$J$2:$J$31,"INCOMPLETE")</f>
        <v>0</v>
      </c>
      <c r="E3" s="23">
        <f>COUNTIFS('Private Signals'!$C$2:$C$31,"*B*",'Private Signals'!$J$2:$J$31,"OUTDATED")</f>
        <v>1</v>
      </c>
      <c r="F3" s="23">
        <f>COUNTIFS('Private Signals'!$C$2:$C$31,"*B*",'Private Signals'!$J$2:$J$31,"MISLEADING")</f>
        <v>3</v>
      </c>
      <c r="G3" s="24">
        <f>SUMIF('Private Signals'!$C$2:$C$31,"*B*",'Private Signals'!$L$2:$L$31)</f>
        <v>6</v>
      </c>
    </row>
    <row r="4" spans="1:7" x14ac:dyDescent="0.35">
      <c r="A4" s="10" t="s">
        <v>325</v>
      </c>
      <c r="B4" s="23">
        <f>COUNTIF('Private Signals'!$C$2:$C$31,"*C*")</f>
        <v>10</v>
      </c>
      <c r="C4" s="23">
        <f>COUNTIFS('Private Signals'!$C$2:$C$31,"*C*",'Private Signals'!$J$2:$J$31,"ACCURATE")</f>
        <v>5</v>
      </c>
      <c r="D4" s="23">
        <f>COUNTIFS('Private Signals'!$C$2:$C$31,"*C*",'Private Signals'!$J$2:$J$31,"INCOMPLETE")</f>
        <v>1</v>
      </c>
      <c r="E4" s="23">
        <f>COUNTIFS('Private Signals'!$C$2:$C$31,"*C*",'Private Signals'!$J$2:$J$31,"OUTDATED")</f>
        <v>1</v>
      </c>
      <c r="F4" s="23">
        <f>COUNTIFS('Private Signals'!$C$2:$C$31,"*C*",'Private Signals'!$J$2:$J$31,"MISLEADING")</f>
        <v>3</v>
      </c>
      <c r="G4" s="24">
        <f>SUMIF('Private Signals'!$C$2:$C$31,"*C*",'Private Signals'!$L$2:$L$31)</f>
        <v>6</v>
      </c>
    </row>
    <row r="5" spans="1:7" x14ac:dyDescent="0.35">
      <c r="A5" s="10" t="s">
        <v>326</v>
      </c>
      <c r="B5" s="23">
        <f>COUNTIF('Private Signals'!$C$2:$C$31,"*D*")</f>
        <v>10</v>
      </c>
      <c r="C5" s="23">
        <f>COUNTIFS('Private Signals'!$C$2:$C$31,"*D*",'Private Signals'!$J$2:$J$31,"ACCURATE")</f>
        <v>5</v>
      </c>
      <c r="D5" s="23">
        <f>COUNTIFS('Private Signals'!$C$2:$C$31,"*D*",'Private Signals'!$J$2:$J$31,"INCOMPLETE")</f>
        <v>2</v>
      </c>
      <c r="E5" s="23">
        <f>COUNTIFS('Private Signals'!$C$2:$C$31,"*D*",'Private Signals'!$J$2:$J$31,"OUTDATED")</f>
        <v>0</v>
      </c>
      <c r="F5" s="23">
        <f>COUNTIFS('Private Signals'!$C$2:$C$31,"*D*",'Private Signals'!$J$2:$J$31,"MISLEADING")</f>
        <v>3</v>
      </c>
      <c r="G5" s="24">
        <f>SUMIF('Private Signals'!$C$2:$C$31,"*D*",'Private Signals'!$L$2:$L$31)</f>
        <v>5</v>
      </c>
    </row>
    <row r="6" spans="1:7" x14ac:dyDescent="0.35">
      <c r="A6" s="10" t="s">
        <v>327</v>
      </c>
      <c r="B6" s="23">
        <f>COUNTIF('Private Signals'!$C$2:$C$31,"*E*")</f>
        <v>10</v>
      </c>
      <c r="C6" s="23">
        <f>COUNTIFS('Private Signals'!$C$2:$C$31,"*E*",'Private Signals'!$J$2:$J$31,"ACCURATE")</f>
        <v>6</v>
      </c>
      <c r="D6" s="23">
        <f>COUNTIFS('Private Signals'!$C$2:$C$31,"*E*",'Private Signals'!$J$2:$J$31,"INCOMPLETE")</f>
        <v>0</v>
      </c>
      <c r="E6" s="23">
        <f>COUNTIFS('Private Signals'!$C$2:$C$31,"*E*",'Private Signals'!$J$2:$J$31,"OUTDATED")</f>
        <v>0</v>
      </c>
      <c r="F6" s="23">
        <f>COUNTIFS('Private Signals'!$C$2:$C$31,"*E*",'Private Signals'!$J$2:$J$31,"MISLEADING")</f>
        <v>4</v>
      </c>
      <c r="G6" s="24">
        <f>SUMIF('Private Signals'!$C$2:$C$31,"*E*",'Private Signals'!$L$2:$L$31)</f>
        <v>7</v>
      </c>
    </row>
    <row r="7" spans="1:7" x14ac:dyDescent="0.35">
      <c r="A7" s="10" t="s">
        <v>328</v>
      </c>
      <c r="B7" s="23">
        <f>COUNTIF('Private Signals'!$C$2:$C$31,"*F*")</f>
        <v>10</v>
      </c>
      <c r="C7" s="23">
        <f>COUNTIFS('Private Signals'!$C$2:$C$31,"*F*",'Private Signals'!$J$2:$J$31,"ACCURATE")</f>
        <v>6</v>
      </c>
      <c r="D7" s="23">
        <f>COUNTIFS('Private Signals'!$C$2:$C$31,"*F*",'Private Signals'!$J$2:$J$31,"INCOMPLETE")</f>
        <v>1</v>
      </c>
      <c r="E7" s="23">
        <f>COUNTIFS('Private Signals'!$C$2:$C$31,"*F*",'Private Signals'!$J$2:$J$31,"OUTDATED")</f>
        <v>1</v>
      </c>
      <c r="F7" s="23">
        <f>COUNTIFS('Private Signals'!$C$2:$C$31,"*F*",'Private Signals'!$J$2:$J$31,"MISLEADING")</f>
        <v>2</v>
      </c>
      <c r="G7" s="24">
        <f>SUMIF('Private Signals'!$C$2:$C$31,"*F*",'Private Signals'!$L$2:$L$31)</f>
        <v>8</v>
      </c>
    </row>
    <row r="9" spans="1:7" x14ac:dyDescent="0.35">
      <c r="A9" s="4" t="s">
        <v>367</v>
      </c>
      <c r="G9" s="25">
        <f>MAX(G2:G7)-MIN(G2:G7)</f>
        <v>3.9999999999999991</v>
      </c>
    </row>
    <row r="10" spans="1:7" x14ac:dyDescent="0.35">
      <c r="A10" s="4" t="s">
        <v>368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" customWidth="1"/>
    <col min="2" max="2" width="7" customWidth="1"/>
    <col min="3" max="3" width="40" customWidth="1"/>
    <col min="4" max="4" width="12" customWidth="1"/>
    <col min="5" max="5" width="90" customWidth="1"/>
  </cols>
  <sheetData>
    <row r="1" spans="1:5" ht="28" x14ac:dyDescent="0.35">
      <c r="A1" s="3" t="s">
        <v>369</v>
      </c>
      <c r="B1" s="3" t="s">
        <v>132</v>
      </c>
      <c r="C1" s="3" t="s">
        <v>370</v>
      </c>
      <c r="D1" s="3" t="s">
        <v>371</v>
      </c>
      <c r="E1" s="3" t="s">
        <v>372</v>
      </c>
    </row>
    <row r="2" spans="1:5" x14ac:dyDescent="0.35">
      <c r="A2" s="4" t="s">
        <v>373</v>
      </c>
      <c r="B2" s="4">
        <v>1</v>
      </c>
      <c r="C2" s="11" t="s">
        <v>374</v>
      </c>
      <c r="D2" s="11">
        <v>1</v>
      </c>
      <c r="E2" s="19" t="s">
        <v>375</v>
      </c>
    </row>
    <row r="3" spans="1:5" ht="28" x14ac:dyDescent="0.35">
      <c r="A3" s="4" t="s">
        <v>376</v>
      </c>
      <c r="B3" s="4">
        <v>2</v>
      </c>
      <c r="C3" s="11" t="s">
        <v>377</v>
      </c>
      <c r="D3" s="11">
        <v>1</v>
      </c>
      <c r="E3" s="19" t="s">
        <v>378</v>
      </c>
    </row>
    <row r="4" spans="1:5" x14ac:dyDescent="0.35">
      <c r="A4" s="4" t="s">
        <v>379</v>
      </c>
      <c r="B4" s="4">
        <v>3</v>
      </c>
      <c r="C4" s="11" t="s">
        <v>380</v>
      </c>
      <c r="D4" s="11">
        <v>1</v>
      </c>
      <c r="E4" s="19" t="s">
        <v>381</v>
      </c>
    </row>
    <row r="5" spans="1:5" ht="28" x14ac:dyDescent="0.35">
      <c r="A5" s="4" t="s">
        <v>382</v>
      </c>
      <c r="B5" s="4">
        <v>4</v>
      </c>
      <c r="C5" s="11" t="s">
        <v>383</v>
      </c>
      <c r="D5" s="11">
        <v>1</v>
      </c>
      <c r="E5" s="19" t="s">
        <v>384</v>
      </c>
    </row>
    <row r="6" spans="1:5" ht="28" x14ac:dyDescent="0.35">
      <c r="A6" s="4" t="s">
        <v>385</v>
      </c>
      <c r="B6" s="4">
        <v>5</v>
      </c>
      <c r="C6" s="11" t="s">
        <v>386</v>
      </c>
      <c r="D6" s="11">
        <v>1</v>
      </c>
      <c r="E6" s="19" t="s">
        <v>387</v>
      </c>
    </row>
    <row r="7" spans="1:5" ht="28" x14ac:dyDescent="0.35">
      <c r="A7" s="4" t="s">
        <v>388</v>
      </c>
      <c r="B7" s="4">
        <v>6</v>
      </c>
      <c r="C7" s="11" t="s">
        <v>389</v>
      </c>
      <c r="D7" s="11">
        <v>1</v>
      </c>
      <c r="E7" s="19" t="s">
        <v>390</v>
      </c>
    </row>
    <row r="8" spans="1:5" x14ac:dyDescent="0.35">
      <c r="A8" s="4" t="s">
        <v>391</v>
      </c>
      <c r="B8" s="4">
        <v>6</v>
      </c>
      <c r="C8" s="11" t="s">
        <v>392</v>
      </c>
      <c r="D8" s="11">
        <v>1</v>
      </c>
      <c r="E8" s="19" t="s">
        <v>393</v>
      </c>
    </row>
    <row r="9" spans="1:5" x14ac:dyDescent="0.35">
      <c r="A9" s="4" t="s">
        <v>394</v>
      </c>
      <c r="B9" s="4">
        <v>6</v>
      </c>
      <c r="C9" s="11" t="s">
        <v>395</v>
      </c>
      <c r="D9" s="11">
        <v>1</v>
      </c>
      <c r="E9" s="19" t="s">
        <v>396</v>
      </c>
    </row>
    <row r="10" spans="1:5" x14ac:dyDescent="0.35">
      <c r="A10" s="4" t="s">
        <v>397</v>
      </c>
      <c r="B10" s="4">
        <v>7</v>
      </c>
      <c r="C10" s="11" t="s">
        <v>398</v>
      </c>
      <c r="D10" s="11">
        <v>1</v>
      </c>
      <c r="E10" s="19" t="s">
        <v>399</v>
      </c>
    </row>
    <row r="11" spans="1:5" x14ac:dyDescent="0.35">
      <c r="A11" s="4" t="s">
        <v>400</v>
      </c>
      <c r="B11" s="4">
        <v>8</v>
      </c>
      <c r="C11" s="11" t="s">
        <v>401</v>
      </c>
      <c r="D11" s="11">
        <v>1</v>
      </c>
      <c r="E11" s="19" t="s">
        <v>402</v>
      </c>
    </row>
    <row r="12" spans="1:5" x14ac:dyDescent="0.35">
      <c r="A12" s="4" t="s">
        <v>403</v>
      </c>
      <c r="B12" s="4">
        <v>8</v>
      </c>
      <c r="C12" s="11" t="s">
        <v>404</v>
      </c>
      <c r="D12" s="11">
        <v>1</v>
      </c>
      <c r="E12" s="19" t="s">
        <v>405</v>
      </c>
    </row>
    <row r="13" spans="1:5" x14ac:dyDescent="0.35">
      <c r="A13" s="4" t="s">
        <v>406</v>
      </c>
      <c r="B13" s="4">
        <v>9</v>
      </c>
      <c r="C13" s="11" t="s">
        <v>407</v>
      </c>
      <c r="D13" s="11">
        <v>1</v>
      </c>
      <c r="E13" s="19" t="s">
        <v>408</v>
      </c>
    </row>
    <row r="14" spans="1:5" x14ac:dyDescent="0.35">
      <c r="A14" s="4" t="s">
        <v>409</v>
      </c>
      <c r="B14" s="4">
        <v>10</v>
      </c>
      <c r="C14" s="11" t="s">
        <v>410</v>
      </c>
      <c r="D14" s="11">
        <v>1</v>
      </c>
      <c r="E14" s="19" t="s">
        <v>411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" customWidth="1"/>
    <col min="2" max="2" width="8" customWidth="1"/>
    <col min="3" max="3" width="80" customWidth="1"/>
    <col min="4" max="4" width="14" customWidth="1"/>
    <col min="5" max="5" width="8" customWidth="1"/>
  </cols>
  <sheetData>
    <row r="1" spans="1:5" ht="28" x14ac:dyDescent="0.35">
      <c r="A1" s="3" t="s">
        <v>132</v>
      </c>
      <c r="B1" s="3" t="s">
        <v>44</v>
      </c>
      <c r="C1" s="3" t="s">
        <v>412</v>
      </c>
      <c r="D1" s="3" t="s">
        <v>413</v>
      </c>
      <c r="E1" s="3" t="s">
        <v>414</v>
      </c>
    </row>
    <row r="2" spans="1:5" x14ac:dyDescent="0.35">
      <c r="A2" s="4">
        <v>3</v>
      </c>
      <c r="B2" s="11" t="s">
        <v>101</v>
      </c>
      <c r="C2" s="19" t="s">
        <v>415</v>
      </c>
      <c r="D2" s="4" t="s">
        <v>416</v>
      </c>
      <c r="E2" s="11">
        <v>1</v>
      </c>
    </row>
    <row r="3" spans="1:5" x14ac:dyDescent="0.35">
      <c r="A3" s="4">
        <v>6</v>
      </c>
      <c r="B3" s="11" t="s">
        <v>71</v>
      </c>
      <c r="C3" s="19" t="s">
        <v>417</v>
      </c>
      <c r="D3" s="4" t="s">
        <v>416</v>
      </c>
      <c r="E3" s="11">
        <v>1</v>
      </c>
    </row>
    <row r="4" spans="1:5" x14ac:dyDescent="0.35">
      <c r="A4" s="4">
        <v>9</v>
      </c>
      <c r="B4" s="11" t="s">
        <v>91</v>
      </c>
      <c r="C4" s="19" t="s">
        <v>418</v>
      </c>
      <c r="D4" s="4" t="s">
        <v>416</v>
      </c>
      <c r="E4" s="11">
        <v>1</v>
      </c>
    </row>
    <row r="6" spans="1:5" x14ac:dyDescent="0.35">
      <c r="A6" s="4" t="s">
        <v>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Parameters</vt:lpstr>
      <vt:lpstr>Stocks</vt:lpstr>
      <vt:lpstr>Hidden State</vt:lpstr>
      <vt:lpstr>Public News</vt:lpstr>
      <vt:lpstr>Private Signals</vt:lpstr>
      <vt:lpstr>Allocation</vt:lpstr>
      <vt:lpstr>Balance Check</vt:lpstr>
      <vt:lpstr>Research</vt:lpstr>
      <vt:lpstr>Forecasts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 Rathod</cp:lastModifiedBy>
  <dcterms:created xsi:type="dcterms:W3CDTF">2026-10-28T13:55:15Z</dcterms:created>
  <dcterms:modified xsi:type="dcterms:W3CDTF">2026-10-28T13:55:33Z</dcterms:modified>
</cp:coreProperties>
</file>